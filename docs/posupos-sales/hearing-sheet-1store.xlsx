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聞き取り" sheetId="1" state="visible" r:id="rId3"/>
    <sheet name="記入例"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<sst xmlns="http://schemas.openxmlformats.org/spreadsheetml/2006/main" count="212" uniqueCount="107">
  <si>
    <t xml:space="preserve">ポスポス 導入店の聞き取りシート</t>
  </si>
  <si>
    <t xml:space="preserve">黄色のセルに書き込みます。灰色のセルは自動で計算します。数字は実際に測ったものだけを書き、わからないところは空けておきます（広告に使うのは測った数字だけ）。</t>
  </si>
  <si>
    <t xml:space="preserve">月額（円・税込）</t>
  </si>
  <si>
    <r>
      <rPr>
        <b val="true"/>
        <sz val="11"/>
        <color rgb="FFFFFFFF"/>
        <rFont val="Arial"/>
        <family val="0"/>
        <charset val="1"/>
      </rPr>
      <t xml:space="preserve">1. </t>
    </r>
    <r>
      <rPr>
        <b val="true"/>
        <sz val="11"/>
        <color rgb="FFFFFFFF"/>
        <rFont val="WenQuanYi Zen Hei"/>
        <family val="2"/>
      </rPr>
      <t xml:space="preserve">お店の情報</t>
    </r>
  </si>
  <si>
    <t xml:space="preserve">聞いた日</t>
  </si>
  <si>
    <t xml:space="preserve">お店の名前</t>
  </si>
  <si>
    <t xml:space="preserve">お店の種類</t>
  </si>
  <si>
    <t xml:space="preserve">話を聞いた人（役職）</t>
  </si>
  <si>
    <t xml:space="preserve">使い始めた日</t>
  </si>
  <si>
    <t xml:space="preserve">プラン</t>
  </si>
  <si>
    <t xml:space="preserve">店舗数</t>
  </si>
  <si>
    <t xml:space="preserve">スタッフ・キャストの人数</t>
  </si>
  <si>
    <t xml:space="preserve">前に使っていたレジ・管理の方法</t>
  </si>
  <si>
    <r>
      <rPr>
        <b val="true"/>
        <sz val="11"/>
        <color rgb="FFFFFFFF"/>
        <rFont val="Arial"/>
        <family val="0"/>
        <charset val="1"/>
      </rPr>
      <t xml:space="preserve">2. </t>
    </r>
    <r>
      <rPr>
        <b val="true"/>
        <sz val="11"/>
        <color rgb="FFFFFFFF"/>
        <rFont val="WenQuanYi Zen Hei"/>
        <family val="2"/>
      </rPr>
      <t xml:space="preserve">導入する前の困りごとと、選んだ理由（お店の人の言葉のまま）</t>
    </r>
  </si>
  <si>
    <t xml:space="preserve">ポスポスを入れる前、いちばん面倒だった仕事は？</t>
  </si>
  <si>
    <t xml:space="preserve">それに毎日・毎月どれくらい時間がかかっていた？</t>
  </si>
  <si>
    <t xml:space="preserve">計算ミスや、スタッフ・キャストとのもめごとはあった？</t>
  </si>
  <si>
    <t xml:space="preserve">採用（面接・日程調整・体入）で困っていたことは？</t>
  </si>
  <si>
    <t xml:space="preserve">なぜポスポスを使ってみようと思った？</t>
  </si>
  <si>
    <t xml:space="preserve">ほかに比べたレジ・サービスは？選ばなかった理由は？</t>
  </si>
  <si>
    <r>
      <rPr>
        <b val="true"/>
        <sz val="11"/>
        <color rgb="FFFFFFFF"/>
        <rFont val="Arial"/>
        <family val="0"/>
        <charset val="1"/>
      </rPr>
      <t xml:space="preserve">3. </t>
    </r>
    <r>
      <rPr>
        <b val="true"/>
        <sz val="11"/>
        <color rgb="FFFFFFFF"/>
        <rFont val="WenQuanYi Zen Hei"/>
        <family val="2"/>
      </rPr>
      <t xml:space="preserve">数字で測ること</t>
    </r>
  </si>
  <si>
    <t xml:space="preserve">測ること</t>
  </si>
  <si>
    <t xml:space="preserve">単位</t>
  </si>
  <si>
    <t xml:space="preserve">導入前</t>
  </si>
  <si>
    <t xml:space="preserve">今</t>
  </si>
  <si>
    <t xml:space="preserve">減った量</t>
  </si>
  <si>
    <t xml:space="preserve">減った割合</t>
  </si>
  <si>
    <t xml:space="preserve">どうやって測ったか</t>
  </si>
  <si>
    <t xml:space="preserve">閉店後の締め（売上の集計・レジ締め）</t>
  </si>
  <si>
    <t xml:space="preserve">分／日</t>
  </si>
  <si>
    <t xml:space="preserve">給料の計算（バック・時給・手当を含む）</t>
  </si>
  <si>
    <t xml:space="preserve">時間／月</t>
  </si>
  <si>
    <t xml:space="preserve">シフトを集めて決める時間</t>
  </si>
  <si>
    <t xml:space="preserve">給料・バックの問い合わせ</t>
  </si>
  <si>
    <t xml:space="preserve">回／月</t>
  </si>
  <si>
    <t xml:space="preserve">計算のまちがい・やり直し</t>
  </si>
  <si>
    <t xml:space="preserve">面接にかけた時間</t>
  </si>
  <si>
    <t xml:space="preserve">分／人</t>
  </si>
  <si>
    <t xml:space="preserve">面接のドタキャン・来ない</t>
  </si>
  <si>
    <t xml:space="preserve">人／月</t>
  </si>
  <si>
    <t xml:space="preserve">合わなかった体入（夜のお店）</t>
  </si>
  <si>
    <t xml:space="preserve">合わなかった体入にかかった体入費（夜のお店）</t>
  </si>
  <si>
    <t xml:space="preserve">円／月</t>
  </si>
  <si>
    <r>
      <rPr>
        <sz val="10"/>
        <color rgb="FF13234A"/>
        <rFont val="Arial"/>
        <family val="0"/>
        <charset val="1"/>
      </rPr>
      <t xml:space="preserve">AI</t>
    </r>
    <r>
      <rPr>
        <sz val="10"/>
        <color rgb="FF13234A"/>
        <rFont val="WenQuanYi Zen Hei"/>
        <family val="2"/>
      </rPr>
      <t xml:space="preserve">面接を使った回数</t>
    </r>
  </si>
  <si>
    <t xml:space="preserve">―</t>
  </si>
  <si>
    <r>
      <rPr>
        <sz val="10"/>
        <color rgb="FF13234A"/>
        <rFont val="Arial"/>
        <family val="0"/>
        <charset val="1"/>
      </rPr>
      <t xml:space="preserve">AI</t>
    </r>
    <r>
      <rPr>
        <sz val="10"/>
        <color rgb="FF13234A"/>
        <rFont val="WenQuanYi Zen Hei"/>
        <family val="2"/>
      </rPr>
      <t xml:space="preserve">面接のあと会った人</t>
    </r>
  </si>
  <si>
    <r>
      <rPr>
        <sz val="10"/>
        <color rgb="FF13234A"/>
        <rFont val="Arial"/>
        <family val="0"/>
        <charset val="1"/>
      </rPr>
      <t xml:space="preserve">AI</t>
    </r>
    <r>
      <rPr>
        <sz val="10"/>
        <color rgb="FF13234A"/>
        <rFont val="WenQuanYi Zen Hei"/>
        <family val="2"/>
      </rPr>
      <t xml:space="preserve">面接のあと採用した人</t>
    </r>
  </si>
  <si>
    <t xml:space="preserve">導入事例の見出しになる一文
「◯◯が、◯◯から◯◯になった」</t>
  </si>
  <si>
    <r>
      <rPr>
        <b val="true"/>
        <sz val="11"/>
        <color rgb="FFFFFFFF"/>
        <rFont val="Arial"/>
        <family val="0"/>
        <charset val="1"/>
      </rPr>
      <t xml:space="preserve">4. </t>
    </r>
    <r>
      <rPr>
        <b val="true"/>
        <sz val="11"/>
        <color rgb="FFFFFFFF"/>
        <rFont val="WenQuanYi Zen Hei"/>
        <family val="2"/>
      </rPr>
      <t xml:space="preserve">使っている機能と、不満・要望</t>
    </r>
  </si>
  <si>
    <t xml:space="preserve">機能</t>
  </si>
  <si>
    <t xml:space="preserve">使い方（選ぶ）</t>
  </si>
  <si>
    <t xml:space="preserve">使っていない理由</t>
  </si>
  <si>
    <t xml:space="preserve">注文・会計・伝票</t>
  </si>
  <si>
    <t xml:space="preserve">セット料金・延長・指名・付け回し（夜）</t>
  </si>
  <si>
    <r>
      <rPr>
        <sz val="10"/>
        <color rgb="FF13234A"/>
        <rFont val="Arial"/>
        <family val="0"/>
        <charset val="1"/>
      </rPr>
      <t xml:space="preserve">QR</t>
    </r>
    <r>
      <rPr>
        <sz val="10"/>
        <color rgb="FF13234A"/>
        <rFont val="WenQuanYi Zen Hei"/>
        <family val="2"/>
      </rPr>
      <t xml:space="preserve">注文・厨房の画面（昼）</t>
    </r>
  </si>
  <si>
    <t xml:space="preserve">打刻・シフト</t>
  </si>
  <si>
    <t xml:space="preserve">給料・バックの計算</t>
  </si>
  <si>
    <t xml:space="preserve">スタッフ・キャストのスマホ画面</t>
  </si>
  <si>
    <t xml:space="preserve">顧客・ボトル・売掛・ポイント</t>
  </si>
  <si>
    <t xml:space="preserve">お金・日報・利益</t>
  </si>
  <si>
    <r>
      <rPr>
        <sz val="10"/>
        <color rgb="FF13234A"/>
        <rFont val="Arial"/>
        <family val="0"/>
        <charset val="1"/>
      </rPr>
      <t xml:space="preserve">AI</t>
    </r>
    <r>
      <rPr>
        <sz val="10"/>
        <color rgb="FF13234A"/>
        <rFont val="WenQuanYi Zen Hei"/>
        <family val="2"/>
      </rPr>
      <t xml:space="preserve">面接</t>
    </r>
  </si>
  <si>
    <t xml:space="preserve">いちばん助かっている機能は？それはなぜ？</t>
  </si>
  <si>
    <t xml:space="preserve">使いにくいところ・わかりにくいところは？</t>
  </si>
  <si>
    <t xml:space="preserve">「これがあったらもっと楽」という機能は？</t>
  </si>
  <si>
    <t xml:space="preserve">スタッフ・キャストからの声（よい・わるい）は？</t>
  </si>
  <si>
    <t xml:space="preserve">困ったときの問い合わせ・サポートはどうだった？</t>
  </si>
  <si>
    <r>
      <rPr>
        <b val="true"/>
        <sz val="11"/>
        <color rgb="FFFFFFFF"/>
        <rFont val="Arial"/>
        <family val="0"/>
        <charset val="1"/>
      </rPr>
      <t xml:space="preserve">5. </t>
    </r>
    <r>
      <rPr>
        <b val="true"/>
        <sz val="11"/>
        <color rgb="FFFFFFFF"/>
        <rFont val="WenQuanYi Zen Hei"/>
        <family val="2"/>
      </rPr>
      <t xml:space="preserve">続ける気持ち・紹介・導入事例</t>
    </r>
  </si>
  <si>
    <r>
      <rPr>
        <sz val="10"/>
        <color rgb="FF13234A"/>
        <rFont val="WenQuanYi Zen Hei"/>
        <family val="2"/>
      </rPr>
      <t xml:space="preserve">知り合いのお店にすすめたい度合い（</t>
    </r>
    <r>
      <rPr>
        <sz val="10"/>
        <color rgb="FF13234A"/>
        <rFont val="Arial"/>
        <family val="0"/>
        <charset val="1"/>
      </rPr>
      <t xml:space="preserve">0</t>
    </r>
    <r>
      <rPr>
        <sz val="10"/>
        <color rgb="FF13234A"/>
        <rFont val="WenQuanYi Zen Hei"/>
        <family val="2"/>
      </rPr>
      <t xml:space="preserve">〜</t>
    </r>
    <r>
      <rPr>
        <sz val="10"/>
        <color rgb="FF13234A"/>
        <rFont val="Arial"/>
        <family val="0"/>
        <charset val="1"/>
      </rPr>
      <t xml:space="preserve">10</t>
    </r>
    <r>
      <rPr>
        <sz val="10"/>
        <color rgb="FF13234A"/>
        <rFont val="WenQuanYi Zen Hei"/>
        <family val="2"/>
      </rPr>
      <t xml:space="preserve">点）</t>
    </r>
  </si>
  <si>
    <t xml:space="preserve">その点数にした理由</t>
  </si>
  <si>
    <t xml:space="preserve">もしポスポスがなくなったら</t>
  </si>
  <si>
    <t xml:space="preserve">紹介のお願い（そのまま話す文）：いつも使っていただいて、ありがとうございます。今、同じようなお店にもポスポスを広げようとしています。給料やバックの計算、面接で困っていそうなオーナーさんがいたら、一度ご紹介いただけませんか。いきなり営業はせず、まず今のやり方を聞いて、役に立ちそうかだけお話しします。</t>
  </si>
  <si>
    <t xml:space="preserve">紹介してもらえそうなお店</t>
  </si>
  <si>
    <t xml:space="preserve">種類・場所</t>
  </si>
  <si>
    <t xml:space="preserve">連絡のつなぎ方</t>
  </si>
  <si>
    <t xml:space="preserve">連絡した日</t>
  </si>
  <si>
    <t xml:space="preserve">導入事例に使ってよいか（使う前に、必ず文を見せて確認）</t>
  </si>
  <si>
    <t xml:space="preserve">次にやること</t>
  </si>
  <si>
    <t xml:space="preserve">聞いた内容をもとに、導入事例の文を作ってお店に確認してもらう</t>
  </si>
  <si>
    <t xml:space="preserve">まだ</t>
  </si>
  <si>
    <t xml:space="preserve">紹介してもらえたお店に連絡する</t>
  </si>
  <si>
    <t xml:space="preserve">「これがあったらもっと楽」の要望を、アプリの直すことの一覧に入れる</t>
  </si>
  <si>
    <t xml:space="preserve">測れなかった数字は、来月もう一度聞く</t>
  </si>
  <si>
    <r>
      <rPr>
        <sz val="10"/>
        <color rgb="FF13234A"/>
        <rFont val="WenQuanYi Zen Hei"/>
        <family val="2"/>
      </rPr>
      <t xml:space="preserve">（記入例）夜のお店</t>
    </r>
    <r>
      <rPr>
        <sz val="10"/>
        <color rgb="FF13234A"/>
        <rFont val="Arial"/>
        <family val="0"/>
        <charset val="1"/>
      </rPr>
      <t xml:space="preserve">A</t>
    </r>
  </si>
  <si>
    <t xml:space="preserve">キャバクラ</t>
  </si>
  <si>
    <t xml:space="preserve">オーナー</t>
  </si>
  <si>
    <t xml:space="preserve">スタンダード</t>
  </si>
  <si>
    <r>
      <rPr>
        <sz val="10"/>
        <color rgb="FF13234A"/>
        <rFont val="Arial"/>
        <family val="0"/>
        <charset val="1"/>
      </rPr>
      <t xml:space="preserve">1</t>
    </r>
    <r>
      <rPr>
        <sz val="10"/>
        <color rgb="FF13234A"/>
        <rFont val="WenQuanYi Zen Hei"/>
        <family val="2"/>
      </rPr>
      <t xml:space="preserve">店舗</t>
    </r>
  </si>
  <si>
    <r>
      <rPr>
        <sz val="10"/>
        <color rgb="FF13234A"/>
        <rFont val="WenQuanYi Zen Hei"/>
        <family val="2"/>
      </rPr>
      <t xml:space="preserve">キャスト</t>
    </r>
    <r>
      <rPr>
        <sz val="10"/>
        <color rgb="FF13234A"/>
        <rFont val="Arial"/>
        <family val="0"/>
        <charset val="1"/>
      </rPr>
      <t xml:space="preserve">12</t>
    </r>
    <r>
      <rPr>
        <sz val="10"/>
        <color rgb="FF13234A"/>
        <rFont val="WenQuanYi Zen Hei"/>
        <family val="2"/>
      </rPr>
      <t xml:space="preserve">人・黒服</t>
    </r>
    <r>
      <rPr>
        <sz val="10"/>
        <color rgb="FF13234A"/>
        <rFont val="Arial"/>
        <family val="0"/>
        <charset val="1"/>
      </rPr>
      <t xml:space="preserve">3</t>
    </r>
    <r>
      <rPr>
        <sz val="10"/>
        <color rgb="FF13234A"/>
        <rFont val="WenQuanYi Zen Hei"/>
        <family val="2"/>
      </rPr>
      <t xml:space="preserve">人</t>
    </r>
  </si>
  <si>
    <r>
      <rPr>
        <sz val="10"/>
        <color rgb="FF13234A"/>
        <rFont val="WenQuanYi Zen Hei"/>
        <family val="2"/>
      </rPr>
      <t xml:space="preserve">紙の伝票＋</t>
    </r>
    <r>
      <rPr>
        <sz val="10"/>
        <color rgb="FF13234A"/>
        <rFont val="Arial"/>
        <family val="0"/>
        <charset val="1"/>
      </rPr>
      <t xml:space="preserve">Excel</t>
    </r>
  </si>
  <si>
    <t xml:space="preserve">閉店後、伝票を見ながらキャストごとのバックを電卓で計算するのがいちばん面倒だった</t>
  </si>
  <si>
    <r>
      <rPr>
        <sz val="10"/>
        <color rgb="FF13234A"/>
        <rFont val="WenQuanYi Zen Hei"/>
        <family val="2"/>
      </rPr>
      <t xml:space="preserve">毎日の締めに</t>
    </r>
    <r>
      <rPr>
        <sz val="10"/>
        <color rgb="FF13234A"/>
        <rFont val="Arial"/>
        <family val="0"/>
        <charset val="1"/>
      </rPr>
      <t xml:space="preserve">40</t>
    </r>
    <r>
      <rPr>
        <sz val="10"/>
        <color rgb="FF13234A"/>
        <rFont val="WenQuanYi Zen Hei"/>
        <family val="2"/>
      </rPr>
      <t xml:space="preserve">分、月末の給料計算に</t>
    </r>
    <r>
      <rPr>
        <sz val="10"/>
        <color rgb="FF13234A"/>
        <rFont val="Arial"/>
        <family val="0"/>
        <charset val="1"/>
      </rPr>
      <t xml:space="preserve">10</t>
    </r>
    <r>
      <rPr>
        <sz val="10"/>
        <color rgb="FF13234A"/>
        <rFont val="WenQuanYi Zen Hei"/>
        <family val="2"/>
      </rPr>
      <t xml:space="preserve">時間くらい</t>
    </r>
  </si>
  <si>
    <t xml:space="preserve">知り合いに紹介されて、バックの計算が自動になると聞いたから</t>
  </si>
  <si>
    <r>
      <rPr>
        <sz val="10"/>
        <color rgb="FF13234A"/>
        <rFont val="WenQuanYi Zen Hei"/>
        <family val="2"/>
      </rPr>
      <t xml:space="preserve">オーナーに直近</t>
    </r>
    <r>
      <rPr>
        <sz val="10"/>
        <color rgb="FF13234A"/>
        <rFont val="Arial"/>
        <family val="0"/>
        <charset val="1"/>
      </rPr>
      <t xml:space="preserve">1</t>
    </r>
    <r>
      <rPr>
        <sz val="10"/>
        <color rgb="FF13234A"/>
        <rFont val="WenQuanYi Zen Hei"/>
        <family val="2"/>
      </rPr>
      <t xml:space="preserve">週間の平均を聞いた</t>
    </r>
  </si>
  <si>
    <t xml:space="preserve">先月の給料計算にかかった時間</t>
  </si>
  <si>
    <r>
      <rPr>
        <sz val="10"/>
        <color rgb="FF13234A"/>
        <rFont val="WenQuanYi Zen Hei"/>
        <family val="2"/>
      </rPr>
      <t xml:space="preserve">管理画面の</t>
    </r>
    <r>
      <rPr>
        <sz val="10"/>
        <color rgb="FF13234A"/>
        <rFont val="Arial"/>
        <family val="0"/>
        <charset val="1"/>
      </rPr>
      <t xml:space="preserve">AI</t>
    </r>
    <r>
      <rPr>
        <sz val="10"/>
        <color rgb="FF13234A"/>
        <rFont val="WenQuanYi Zen Hei"/>
        <family val="2"/>
      </rPr>
      <t xml:space="preserve">面接の一覧で数えた</t>
    </r>
  </si>
  <si>
    <r>
      <rPr>
        <sz val="10"/>
        <color rgb="FF13234A"/>
        <rFont val="WenQuanYi Zen Hei"/>
        <family val="2"/>
      </rPr>
      <t xml:space="preserve">キャストの給料計算が、月</t>
    </r>
    <r>
      <rPr>
        <sz val="10"/>
        <color rgb="FF13234A"/>
        <rFont val="Arial"/>
        <family val="0"/>
        <charset val="1"/>
      </rPr>
      <t xml:space="preserve">10</t>
    </r>
    <r>
      <rPr>
        <sz val="10"/>
        <color rgb="FF13234A"/>
        <rFont val="WenQuanYi Zen Hei"/>
        <family val="2"/>
      </rPr>
      <t xml:space="preserve">時間から</t>
    </r>
    <r>
      <rPr>
        <sz val="10"/>
        <color rgb="FF13234A"/>
        <rFont val="Arial"/>
        <family val="0"/>
        <charset val="1"/>
      </rPr>
      <t xml:space="preserve">2</t>
    </r>
    <r>
      <rPr>
        <sz val="10"/>
        <color rgb="FF13234A"/>
        <rFont val="WenQuanYi Zen Hei"/>
        <family val="2"/>
      </rPr>
      <t xml:space="preserve">時間になった（記入例）</t>
    </r>
  </si>
  <si>
    <t xml:space="preserve">毎日使う</t>
  </si>
  <si>
    <t xml:space="preserve">使っていない</t>
  </si>
  <si>
    <t xml:space="preserve">まだ設定していない（使い方を知らなかった）</t>
  </si>
  <si>
    <t xml:space="preserve">ときどき</t>
  </si>
  <si>
    <t xml:space="preserve">キャストごとの月の成績を、印刷して貼り出したい</t>
  </si>
  <si>
    <t xml:space="preserve">計算でもめることがなくなったから</t>
  </si>
  <si>
    <t xml:space="preserve">とても困る</t>
  </si>
  <si>
    <t xml:space="preserve">（記入例）系列のガールズバー</t>
  </si>
  <si>
    <t xml:space="preserve">ガールズバー・同じ駅</t>
  </si>
  <si>
    <t xml:space="preserve">オーナーから先に話してもらう</t>
  </si>
  <si>
    <t xml:space="preserve">店名は出さずに</t>
  </si>
</sst>
</file>

<file path=xl/styles.xml><?xml version="1.0" encoding="utf-8"?>
<styleSheet xmlns="http://schemas.openxmlformats.org/spreadsheetml/2006/main">
  <numFmts count="7">
    <numFmt numFmtId="164" formatCode="General"/>
    <numFmt numFmtId="165" formatCode="\¥#,##0"/>
    <numFmt numFmtId="166" formatCode="yyyy/mm/dd"/>
    <numFmt numFmtId="167" formatCode="#,##0"/>
    <numFmt numFmtId="168" formatCode="0%"/>
    <numFmt numFmtId="169" formatCode="#,##0.0"/>
    <numFmt numFmtId="170" formatCode="0"/>
  </numFmts>
  <fonts count="12">
    <font>
      <sz val="11"/>
      <color theme="1"/>
      <name val="Calibri"/>
      <family val="2"/>
      <charset val="1"/>
    </font>
    <font>
      <sz val="10"/>
      <name val="Arial"/>
      <family val="0"/>
    </font>
    <font>
      <sz val="10"/>
      <name val="Arial"/>
      <family val="0"/>
    </font>
    <font>
      <sz val="10"/>
      <name val="Arial"/>
      <family val="0"/>
    </font>
    <font>
      <b val="true"/>
      <sz val="14"/>
      <color rgb="FF13234A"/>
      <name val="WenQuanYi Zen Hei"/>
      <family val="2"/>
    </font>
    <font>
      <sz val="9"/>
      <color rgb="FF5A6478"/>
      <name val="WenQuanYi Zen Hei"/>
      <family val="2"/>
    </font>
    <font>
      <b val="true"/>
      <sz val="10"/>
      <color rgb="FF13234A"/>
      <name val="WenQuanYi Zen Hei"/>
      <family val="2"/>
    </font>
    <font>
      <sz val="10"/>
      <color rgb="FF13234A"/>
      <name val="Arial"/>
      <family val="0"/>
      <charset val="1"/>
    </font>
    <font>
      <b val="true"/>
      <sz val="11"/>
      <color rgb="FFFFFFFF"/>
      <name val="Arial"/>
      <family val="0"/>
      <charset val="1"/>
    </font>
    <font>
      <b val="true"/>
      <sz val="11"/>
      <color rgb="FFFFFFFF"/>
      <name val="WenQuanYi Zen Hei"/>
      <family val="2"/>
    </font>
    <font>
      <sz val="10"/>
      <color rgb="FF13234A"/>
      <name val="WenQuanYi Zen Hei"/>
      <family val="2"/>
    </font>
    <font>
      <b val="true"/>
      <sz val="10"/>
      <color rgb="FF13234A"/>
      <name val="Arial"/>
      <family val="0"/>
      <charset val="1"/>
    </font>
  </fonts>
  <fills count="6">
    <fill>
      <patternFill patternType="none"/>
    </fill>
    <fill>
      <patternFill patternType="gray125"/>
    </fill>
    <fill>
      <patternFill patternType="solid">
        <fgColor rgb="FFE8EEF9"/>
        <bgColor rgb="FFF2F2F2"/>
      </patternFill>
    </fill>
    <fill>
      <patternFill patternType="solid">
        <fgColor rgb="FFFFF6C9"/>
        <bgColor rgb="FFF2F2F2"/>
      </patternFill>
    </fill>
    <fill>
      <patternFill patternType="solid">
        <fgColor rgb="FF1557D6"/>
        <bgColor rgb="FF3366FF"/>
      </patternFill>
    </fill>
    <fill>
      <patternFill patternType="solid">
        <fgColor rgb="FFF2F2F2"/>
        <bgColor rgb="FFE8EEF9"/>
      </patternFill>
    </fill>
  </fills>
  <borders count="2">
    <border diagonalUp="false" diagonalDown="false">
      <left/>
      <right/>
      <top/>
      <bottom/>
      <diagonal/>
    </border>
    <border diagonalUp="false" diagonalDown="false">
      <left style="thin">
        <color rgb="FFBFC7D5"/>
      </left>
      <right style="thin">
        <color rgb="FFBFC7D5"/>
      </right>
      <top style="thin">
        <color rgb="FFBFC7D5"/>
      </top>
      <bottom style="thin">
        <color rgb="FFBFC7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5" fontId="7" fillId="3"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6" fontId="7" fillId="3"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7" fontId="7" fillId="3" borderId="1" xfId="0" applyFont="true" applyBorder="true" applyAlignment="true" applyProtection="false">
      <alignment horizontal="general" vertical="center" textRotation="0" wrapText="true" indent="0" shrinkToFit="false"/>
      <protection locked="true" hidden="false"/>
    </xf>
    <xf numFmtId="167" fontId="7" fillId="5" borderId="1" xfId="0" applyFont="true" applyBorder="true" applyAlignment="true" applyProtection="false">
      <alignment horizontal="general" vertical="center" textRotation="0" wrapText="true" indent="0" shrinkToFit="false"/>
      <protection locked="true" hidden="false"/>
    </xf>
    <xf numFmtId="168" fontId="7" fillId="5" borderId="1" xfId="0" applyFont="true" applyBorder="true" applyAlignment="true" applyProtection="false">
      <alignment horizontal="general" vertical="center" textRotation="0" wrapText="true" indent="0" shrinkToFit="false"/>
      <protection locked="true" hidden="false"/>
    </xf>
    <xf numFmtId="169" fontId="7" fillId="3" borderId="1" xfId="0" applyFont="true" applyBorder="true" applyAlignment="true" applyProtection="false">
      <alignment horizontal="general" vertical="center" textRotation="0" wrapText="true" indent="0" shrinkToFit="false"/>
      <protection locked="true" hidden="false"/>
    </xf>
    <xf numFmtId="169" fontId="7" fillId="5"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general" vertical="center" textRotation="0" wrapText="true" indent="0" shrinkToFit="false"/>
      <protection locked="true" hidden="false"/>
    </xf>
    <xf numFmtId="170" fontId="7" fillId="3"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general" vertical="center" textRotation="0" wrapText="tru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7D5"/>
      <rgbColor rgb="FF808080"/>
      <rgbColor rgb="FF9999FF"/>
      <rgbColor rgb="FF993366"/>
      <rgbColor rgb="FFFFF6C9"/>
      <rgbColor rgb="FFE8EEF9"/>
      <rgbColor rgb="FF660066"/>
      <rgbColor rgb="FFFF8080"/>
      <rgbColor rgb="FF1557D6"/>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5A6478"/>
      <rgbColor rgb="FF969696"/>
      <rgbColor rgb="FF1323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4" min="3" style="0" width="14"/>
    <col collapsed="false" customWidth="true" hidden="false" outlineLevel="0" max="5" min="5" style="0" width="13"/>
    <col collapsed="false" customWidth="true" hidden="false" outlineLevel="0" max="6" min="6" style="0" width="12"/>
    <col collapsed="false" customWidth="true" hidden="false" outlineLevel="0" max="7" min="7" style="0" width="30"/>
  </cols>
  <sheetData>
    <row r="1" customFormat="false" ht="25.5" hidden="false" customHeight="true" outlineLevel="0" collapsed="false">
      <c r="A1" s="1" t="s">
        <v>0</v>
      </c>
      <c r="B1" s="1"/>
      <c r="C1" s="1"/>
      <c r="D1" s="1"/>
      <c r="E1" s="1"/>
      <c r="F1" s="1"/>
      <c r="G1" s="1"/>
    </row>
    <row r="2" customFormat="false" ht="30" hidden="false" customHeight="true" outlineLevel="0" collapsed="false">
      <c r="A2" s="2" t="s">
        <v>1</v>
      </c>
      <c r="B2" s="2"/>
      <c r="C2" s="2"/>
      <c r="D2" s="2"/>
      <c r="E2" s="2"/>
      <c r="F2" s="2"/>
      <c r="G2" s="2"/>
    </row>
    <row r="3" customFormat="false" ht="15" hidden="false" customHeight="true" outlineLevel="0" collapsed="false">
      <c r="A3" s="3" t="s">
        <v>2</v>
      </c>
      <c r="B3" s="3"/>
      <c r="C3" s="4"/>
      <c r="D3" s="4"/>
      <c r="E3" s="4"/>
      <c r="F3" s="4"/>
      <c r="G3" s="4"/>
    </row>
    <row r="4" customFormat="false" ht="21.75" hidden="false" customHeight="true" outlineLevel="0" collapsed="false">
      <c r="A4" s="5" t="s">
        <v>3</v>
      </c>
      <c r="B4" s="5"/>
      <c r="C4" s="5"/>
      <c r="D4" s="5"/>
      <c r="E4" s="5"/>
      <c r="F4" s="5"/>
      <c r="G4" s="5"/>
    </row>
    <row r="5" customFormat="false" ht="15" hidden="false" customHeight="true" outlineLevel="0" collapsed="false">
      <c r="A5" s="6" t="s">
        <v>4</v>
      </c>
      <c r="B5" s="6"/>
      <c r="C5" s="7"/>
      <c r="D5" s="7"/>
      <c r="E5" s="7"/>
      <c r="F5" s="7"/>
      <c r="G5" s="7"/>
    </row>
    <row r="6" customFormat="false" ht="15" hidden="false" customHeight="true" outlineLevel="0" collapsed="false">
      <c r="A6" s="6" t="s">
        <v>5</v>
      </c>
      <c r="B6" s="6"/>
      <c r="C6" s="8"/>
      <c r="D6" s="8"/>
      <c r="E6" s="8"/>
      <c r="F6" s="8"/>
      <c r="G6" s="8"/>
    </row>
    <row r="7" customFormat="false" ht="15" hidden="false" customHeight="true" outlineLevel="0" collapsed="false">
      <c r="A7" s="6" t="s">
        <v>6</v>
      </c>
      <c r="B7" s="6"/>
      <c r="C7" s="8"/>
      <c r="D7" s="8"/>
      <c r="E7" s="8"/>
      <c r="F7" s="8"/>
      <c r="G7" s="8"/>
    </row>
    <row r="8" customFormat="false" ht="15" hidden="false" customHeight="true" outlineLevel="0" collapsed="false">
      <c r="A8" s="6" t="s">
        <v>7</v>
      </c>
      <c r="B8" s="6"/>
      <c r="C8" s="8"/>
      <c r="D8" s="8"/>
      <c r="E8" s="8"/>
      <c r="F8" s="8"/>
      <c r="G8" s="8"/>
    </row>
    <row r="9" customFormat="false" ht="15" hidden="false" customHeight="true" outlineLevel="0" collapsed="false">
      <c r="A9" s="6" t="s">
        <v>8</v>
      </c>
      <c r="B9" s="6"/>
      <c r="C9" s="7"/>
      <c r="D9" s="7"/>
      <c r="E9" s="7"/>
      <c r="F9" s="7"/>
      <c r="G9" s="7"/>
    </row>
    <row r="10" customFormat="false" ht="15" hidden="false" customHeight="true" outlineLevel="0" collapsed="false">
      <c r="A10" s="6" t="s">
        <v>9</v>
      </c>
      <c r="B10" s="6"/>
      <c r="C10" s="8"/>
      <c r="D10" s="8"/>
      <c r="E10" s="8"/>
      <c r="F10" s="8"/>
      <c r="G10" s="8"/>
    </row>
    <row r="11" customFormat="false" ht="15" hidden="false" customHeight="true" outlineLevel="0" collapsed="false">
      <c r="A11" s="6" t="s">
        <v>10</v>
      </c>
      <c r="B11" s="6"/>
      <c r="C11" s="8"/>
      <c r="D11" s="8"/>
      <c r="E11" s="8"/>
      <c r="F11" s="8"/>
      <c r="G11" s="8"/>
    </row>
    <row r="12" customFormat="false" ht="15" hidden="false" customHeight="true" outlineLevel="0" collapsed="false">
      <c r="A12" s="6" t="s">
        <v>11</v>
      </c>
      <c r="B12" s="6"/>
      <c r="C12" s="8"/>
      <c r="D12" s="8"/>
      <c r="E12" s="8"/>
      <c r="F12" s="8"/>
      <c r="G12" s="8"/>
    </row>
    <row r="13" customFormat="false" ht="15" hidden="false" customHeight="true" outlineLevel="0" collapsed="false">
      <c r="A13" s="6" t="s">
        <v>12</v>
      </c>
      <c r="B13" s="6"/>
      <c r="C13" s="8"/>
      <c r="D13" s="8"/>
      <c r="E13" s="8"/>
      <c r="F13" s="8"/>
      <c r="G13" s="8"/>
    </row>
    <row r="15" customFormat="false" ht="21.75" hidden="false" customHeight="true" outlineLevel="0" collapsed="false">
      <c r="A15" s="5" t="s">
        <v>13</v>
      </c>
      <c r="B15" s="5"/>
      <c r="C15" s="5"/>
      <c r="D15" s="5"/>
      <c r="E15" s="5"/>
      <c r="F15" s="5"/>
      <c r="G15" s="5"/>
    </row>
    <row r="16" customFormat="false" ht="33.75" hidden="false" customHeight="true" outlineLevel="0" collapsed="false">
      <c r="A16" s="6" t="s">
        <v>14</v>
      </c>
      <c r="B16" s="6"/>
      <c r="C16" s="8"/>
      <c r="D16" s="8"/>
      <c r="E16" s="8"/>
      <c r="F16" s="8"/>
      <c r="G16" s="8"/>
    </row>
    <row r="17" customFormat="false" ht="33.75" hidden="false" customHeight="true" outlineLevel="0" collapsed="false">
      <c r="A17" s="6" t="s">
        <v>15</v>
      </c>
      <c r="B17" s="6"/>
      <c r="C17" s="8"/>
      <c r="D17" s="8"/>
      <c r="E17" s="8"/>
      <c r="F17" s="8"/>
      <c r="G17" s="8"/>
    </row>
    <row r="18" customFormat="false" ht="33.75" hidden="false" customHeight="true" outlineLevel="0" collapsed="false">
      <c r="A18" s="6" t="s">
        <v>16</v>
      </c>
      <c r="B18" s="6"/>
      <c r="C18" s="8"/>
      <c r="D18" s="8"/>
      <c r="E18" s="8"/>
      <c r="F18" s="8"/>
      <c r="G18" s="8"/>
    </row>
    <row r="19" customFormat="false" ht="33.75" hidden="false" customHeight="true" outlineLevel="0" collapsed="false">
      <c r="A19" s="6" t="s">
        <v>17</v>
      </c>
      <c r="B19" s="6"/>
      <c r="C19" s="8"/>
      <c r="D19" s="8"/>
      <c r="E19" s="8"/>
      <c r="F19" s="8"/>
      <c r="G19" s="8"/>
    </row>
    <row r="20" customFormat="false" ht="33.75" hidden="false" customHeight="true" outlineLevel="0" collapsed="false">
      <c r="A20" s="6" t="s">
        <v>18</v>
      </c>
      <c r="B20" s="6"/>
      <c r="C20" s="8"/>
      <c r="D20" s="8"/>
      <c r="E20" s="8"/>
      <c r="F20" s="8"/>
      <c r="G20" s="8"/>
    </row>
    <row r="21" customFormat="false" ht="33.75" hidden="false" customHeight="true" outlineLevel="0" collapsed="false">
      <c r="A21" s="6" t="s">
        <v>19</v>
      </c>
      <c r="B21" s="6"/>
      <c r="C21" s="8"/>
      <c r="D21" s="8"/>
      <c r="E21" s="8"/>
      <c r="F21" s="8"/>
      <c r="G21" s="8"/>
    </row>
    <row r="23" customFormat="false" ht="21.75" hidden="false" customHeight="true" outlineLevel="0" collapsed="false">
      <c r="A23" s="5" t="s">
        <v>20</v>
      </c>
      <c r="B23" s="5"/>
      <c r="C23" s="5"/>
      <c r="D23" s="5"/>
      <c r="E23" s="5"/>
      <c r="F23" s="5"/>
      <c r="G23" s="5"/>
    </row>
    <row r="24" customFormat="false" ht="15" hidden="false" customHeight="false" outlineLevel="0" collapsed="false">
      <c r="A24" s="3" t="s">
        <v>21</v>
      </c>
      <c r="B24" s="3" t="s">
        <v>22</v>
      </c>
      <c r="C24" s="3" t="s">
        <v>23</v>
      </c>
      <c r="D24" s="3" t="s">
        <v>24</v>
      </c>
      <c r="E24" s="3" t="s">
        <v>25</v>
      </c>
      <c r="F24" s="3" t="s">
        <v>26</v>
      </c>
      <c r="G24" s="3" t="s">
        <v>27</v>
      </c>
    </row>
    <row r="25" customFormat="false" ht="15" hidden="false" customHeight="false" outlineLevel="0" collapsed="false">
      <c r="A25" s="9" t="s">
        <v>28</v>
      </c>
      <c r="B25" s="10" t="s">
        <v>29</v>
      </c>
      <c r="C25" s="11"/>
      <c r="D25" s="11"/>
      <c r="E25" s="12" t="str">
        <f aca="false">IF(OR(C25="",D25=""),"",C25-D25)</f>
        <v/>
      </c>
      <c r="F25" s="13" t="str">
        <f aca="false">IF(OR(C25="",D25="",N(C25)=0),"",(C25-D25)/C25)</f>
        <v/>
      </c>
      <c r="G25" s="8"/>
    </row>
    <row r="26" customFormat="false" ht="26.85" hidden="false" customHeight="false" outlineLevel="0" collapsed="false">
      <c r="A26" s="9" t="s">
        <v>30</v>
      </c>
      <c r="B26" s="10" t="s">
        <v>31</v>
      </c>
      <c r="C26" s="14"/>
      <c r="D26" s="14"/>
      <c r="E26" s="15" t="str">
        <f aca="false">IF(OR(C26="",D26=""),"",C26-D26)</f>
        <v/>
      </c>
      <c r="F26" s="13" t="str">
        <f aca="false">IF(OR(C26="",D26="",N(C26)=0),"",(C26-D26)/C26)</f>
        <v/>
      </c>
      <c r="G26" s="8"/>
    </row>
    <row r="27" customFormat="false" ht="15" hidden="false" customHeight="false" outlineLevel="0" collapsed="false">
      <c r="A27" s="9" t="s">
        <v>32</v>
      </c>
      <c r="B27" s="10" t="s">
        <v>31</v>
      </c>
      <c r="C27" s="14"/>
      <c r="D27" s="14"/>
      <c r="E27" s="15" t="str">
        <f aca="false">IF(OR(C27="",D27=""),"",C27-D27)</f>
        <v/>
      </c>
      <c r="F27" s="13" t="str">
        <f aca="false">IF(OR(C27="",D27="",N(C27)=0),"",(C27-D27)/C27)</f>
        <v/>
      </c>
      <c r="G27" s="8"/>
    </row>
    <row r="28" customFormat="false" ht="15" hidden="false" customHeight="false" outlineLevel="0" collapsed="false">
      <c r="A28" s="9" t="s">
        <v>33</v>
      </c>
      <c r="B28" s="10" t="s">
        <v>34</v>
      </c>
      <c r="C28" s="11"/>
      <c r="D28" s="11"/>
      <c r="E28" s="12" t="str">
        <f aca="false">IF(OR(C28="",D28=""),"",C28-D28)</f>
        <v/>
      </c>
      <c r="F28" s="13" t="str">
        <f aca="false">IF(OR(C28="",D28="",N(C28)=0),"",(C28-D28)/C28)</f>
        <v/>
      </c>
      <c r="G28" s="8"/>
    </row>
    <row r="29" customFormat="false" ht="15" hidden="false" customHeight="false" outlineLevel="0" collapsed="false">
      <c r="A29" s="9" t="s">
        <v>35</v>
      </c>
      <c r="B29" s="10" t="s">
        <v>34</v>
      </c>
      <c r="C29" s="11"/>
      <c r="D29" s="11"/>
      <c r="E29" s="12" t="str">
        <f aca="false">IF(OR(C29="",D29=""),"",C29-D29)</f>
        <v/>
      </c>
      <c r="F29" s="13" t="str">
        <f aca="false">IF(OR(C29="",D29="",N(C29)=0),"",(C29-D29)/C29)</f>
        <v/>
      </c>
      <c r="G29" s="8"/>
    </row>
    <row r="30" customFormat="false" ht="15" hidden="false" customHeight="false" outlineLevel="0" collapsed="false">
      <c r="A30" s="9" t="s">
        <v>36</v>
      </c>
      <c r="B30" s="10" t="s">
        <v>37</v>
      </c>
      <c r="C30" s="11"/>
      <c r="D30" s="11"/>
      <c r="E30" s="12" t="str">
        <f aca="false">IF(OR(C30="",D30=""),"",C30-D30)</f>
        <v/>
      </c>
      <c r="F30" s="13" t="str">
        <f aca="false">IF(OR(C30="",D30="",N(C30)=0),"",(C30-D30)/C30)</f>
        <v/>
      </c>
      <c r="G30" s="8"/>
    </row>
    <row r="31" customFormat="false" ht="15" hidden="false" customHeight="false" outlineLevel="0" collapsed="false">
      <c r="A31" s="9" t="s">
        <v>38</v>
      </c>
      <c r="B31" s="10" t="s">
        <v>39</v>
      </c>
      <c r="C31" s="11"/>
      <c r="D31" s="11"/>
      <c r="E31" s="12" t="str">
        <f aca="false">IF(OR(C31="",D31=""),"",C31-D31)</f>
        <v/>
      </c>
      <c r="F31" s="13" t="str">
        <f aca="false">IF(OR(C31="",D31="",N(C31)=0),"",(C31-D31)/C31)</f>
        <v/>
      </c>
      <c r="G31" s="8"/>
    </row>
    <row r="32" customFormat="false" ht="15" hidden="false" customHeight="false" outlineLevel="0" collapsed="false">
      <c r="A32" s="9" t="s">
        <v>40</v>
      </c>
      <c r="B32" s="10" t="s">
        <v>39</v>
      </c>
      <c r="C32" s="11"/>
      <c r="D32" s="11"/>
      <c r="E32" s="12" t="str">
        <f aca="false">IF(OR(C32="",D32=""),"",C32-D32)</f>
        <v/>
      </c>
      <c r="F32" s="13" t="str">
        <f aca="false">IF(OR(C32="",D32="",N(C32)=0),"",(C32-D32)/C32)</f>
        <v/>
      </c>
      <c r="G32" s="8"/>
    </row>
    <row r="33" customFormat="false" ht="26.85" hidden="false" customHeight="false" outlineLevel="0" collapsed="false">
      <c r="A33" s="9" t="s">
        <v>41</v>
      </c>
      <c r="B33" s="10" t="s">
        <v>42</v>
      </c>
      <c r="C33" s="11"/>
      <c r="D33" s="11"/>
      <c r="E33" s="12" t="str">
        <f aca="false">IF(OR(C33="",D33=""),"",C33-D33)</f>
        <v/>
      </c>
      <c r="F33" s="13" t="str">
        <f aca="false">IF(OR(C33="",D33="",N(C33)=0),"",(C33-D33)/C33)</f>
        <v/>
      </c>
      <c r="G33" s="8"/>
    </row>
    <row r="34" customFormat="false" ht="15" hidden="false" customHeight="false" outlineLevel="0" collapsed="false">
      <c r="A34" s="16" t="s">
        <v>43</v>
      </c>
      <c r="B34" s="10" t="s">
        <v>34</v>
      </c>
      <c r="C34" s="17" t="s">
        <v>44</v>
      </c>
      <c r="D34" s="11"/>
      <c r="E34" s="18"/>
      <c r="F34" s="18"/>
      <c r="G34" s="8"/>
    </row>
    <row r="35" customFormat="false" ht="15" hidden="false" customHeight="false" outlineLevel="0" collapsed="false">
      <c r="A35" s="16" t="s">
        <v>45</v>
      </c>
      <c r="B35" s="10" t="s">
        <v>39</v>
      </c>
      <c r="C35" s="17" t="s">
        <v>44</v>
      </c>
      <c r="D35" s="11"/>
      <c r="E35" s="18"/>
      <c r="F35" s="18"/>
      <c r="G35" s="8"/>
    </row>
    <row r="36" customFormat="false" ht="15" hidden="false" customHeight="false" outlineLevel="0" collapsed="false">
      <c r="A36" s="16" t="s">
        <v>46</v>
      </c>
      <c r="B36" s="10" t="s">
        <v>39</v>
      </c>
      <c r="C36" s="17" t="s">
        <v>44</v>
      </c>
      <c r="D36" s="11"/>
      <c r="E36" s="18"/>
      <c r="F36" s="18"/>
      <c r="G36" s="8"/>
    </row>
    <row r="37" customFormat="false" ht="33.75" hidden="false" customHeight="true" outlineLevel="0" collapsed="false">
      <c r="A37" s="3" t="s">
        <v>47</v>
      </c>
      <c r="B37" s="3"/>
      <c r="C37" s="8"/>
      <c r="D37" s="8"/>
      <c r="E37" s="8"/>
      <c r="F37" s="8"/>
      <c r="G37" s="8"/>
    </row>
    <row r="39" customFormat="false" ht="21.75" hidden="false" customHeight="true" outlineLevel="0" collapsed="false">
      <c r="A39" s="5" t="s">
        <v>48</v>
      </c>
      <c r="B39" s="5"/>
      <c r="C39" s="5"/>
      <c r="D39" s="5"/>
      <c r="E39" s="5"/>
      <c r="F39" s="5"/>
      <c r="G39" s="5"/>
    </row>
    <row r="40" customFormat="false" ht="15" hidden="false" customHeight="true" outlineLevel="0" collapsed="false">
      <c r="A40" s="3" t="s">
        <v>49</v>
      </c>
      <c r="B40" s="3" t="s">
        <v>50</v>
      </c>
      <c r="C40" s="3"/>
      <c r="D40" s="3" t="s">
        <v>51</v>
      </c>
      <c r="E40" s="3"/>
      <c r="F40" s="3"/>
      <c r="G40" s="3"/>
    </row>
    <row r="41" customFormat="false" ht="15" hidden="false" customHeight="false" outlineLevel="0" collapsed="false">
      <c r="A41" s="9" t="s">
        <v>52</v>
      </c>
      <c r="B41" s="8"/>
      <c r="C41" s="8"/>
      <c r="D41" s="8"/>
      <c r="E41" s="8"/>
      <c r="F41" s="8"/>
      <c r="G41" s="8"/>
    </row>
    <row r="42" customFormat="false" ht="26.85" hidden="false" customHeight="false" outlineLevel="0" collapsed="false">
      <c r="A42" s="9" t="s">
        <v>53</v>
      </c>
      <c r="B42" s="8"/>
      <c r="C42" s="8"/>
      <c r="D42" s="8"/>
      <c r="E42" s="8"/>
      <c r="F42" s="8"/>
      <c r="G42" s="8"/>
    </row>
    <row r="43" customFormat="false" ht="15" hidden="false" customHeight="false" outlineLevel="0" collapsed="false">
      <c r="A43" s="16" t="s">
        <v>54</v>
      </c>
      <c r="B43" s="8"/>
      <c r="C43" s="8"/>
      <c r="D43" s="8"/>
      <c r="E43" s="8"/>
      <c r="F43" s="8"/>
      <c r="G43" s="8"/>
    </row>
    <row r="44" customFormat="false" ht="15" hidden="false" customHeight="false" outlineLevel="0" collapsed="false">
      <c r="A44" s="9" t="s">
        <v>55</v>
      </c>
      <c r="B44" s="8"/>
      <c r="C44" s="8"/>
      <c r="D44" s="8"/>
      <c r="E44" s="8"/>
      <c r="F44" s="8"/>
      <c r="G44" s="8"/>
    </row>
    <row r="45" customFormat="false" ht="15" hidden="false" customHeight="false" outlineLevel="0" collapsed="false">
      <c r="A45" s="9" t="s">
        <v>56</v>
      </c>
      <c r="B45" s="8"/>
      <c r="C45" s="8"/>
      <c r="D45" s="8"/>
      <c r="E45" s="8"/>
      <c r="F45" s="8"/>
      <c r="G45" s="8"/>
    </row>
    <row r="46" customFormat="false" ht="15" hidden="false" customHeight="false" outlineLevel="0" collapsed="false">
      <c r="A46" s="9" t="s">
        <v>57</v>
      </c>
      <c r="B46" s="8"/>
      <c r="C46" s="8"/>
      <c r="D46" s="8"/>
      <c r="E46" s="8"/>
      <c r="F46" s="8"/>
      <c r="G46" s="8"/>
    </row>
    <row r="47" customFormat="false" ht="15" hidden="false" customHeight="false" outlineLevel="0" collapsed="false">
      <c r="A47" s="9" t="s">
        <v>58</v>
      </c>
      <c r="B47" s="8"/>
      <c r="C47" s="8"/>
      <c r="D47" s="8"/>
      <c r="E47" s="8"/>
      <c r="F47" s="8"/>
      <c r="G47" s="8"/>
    </row>
    <row r="48" customFormat="false" ht="15" hidden="false" customHeight="false" outlineLevel="0" collapsed="false">
      <c r="A48" s="9" t="s">
        <v>59</v>
      </c>
      <c r="B48" s="8"/>
      <c r="C48" s="8"/>
      <c r="D48" s="8"/>
      <c r="E48" s="8"/>
      <c r="F48" s="8"/>
      <c r="G48" s="8"/>
    </row>
    <row r="49" customFormat="false" ht="15" hidden="false" customHeight="false" outlineLevel="0" collapsed="false">
      <c r="A49" s="16" t="s">
        <v>60</v>
      </c>
      <c r="B49" s="8"/>
      <c r="C49" s="8"/>
      <c r="D49" s="8"/>
      <c r="E49" s="8"/>
      <c r="F49" s="8"/>
      <c r="G49" s="8"/>
    </row>
    <row r="50" customFormat="false" ht="33.75" hidden="false" customHeight="true" outlineLevel="0" collapsed="false">
      <c r="A50" s="6" t="s">
        <v>61</v>
      </c>
      <c r="B50" s="6"/>
      <c r="C50" s="8"/>
      <c r="D50" s="8"/>
      <c r="E50" s="8"/>
      <c r="F50" s="8"/>
      <c r="G50" s="8"/>
    </row>
    <row r="51" customFormat="false" ht="33.75" hidden="false" customHeight="true" outlineLevel="0" collapsed="false">
      <c r="A51" s="6" t="s">
        <v>62</v>
      </c>
      <c r="B51" s="6"/>
      <c r="C51" s="8"/>
      <c r="D51" s="8"/>
      <c r="E51" s="8"/>
      <c r="F51" s="8"/>
      <c r="G51" s="8"/>
    </row>
    <row r="52" customFormat="false" ht="33.75" hidden="false" customHeight="true" outlineLevel="0" collapsed="false">
      <c r="A52" s="6" t="s">
        <v>63</v>
      </c>
      <c r="B52" s="6"/>
      <c r="C52" s="8"/>
      <c r="D52" s="8"/>
      <c r="E52" s="8"/>
      <c r="F52" s="8"/>
      <c r="G52" s="8"/>
    </row>
    <row r="53" customFormat="false" ht="33.75" hidden="false" customHeight="true" outlineLevel="0" collapsed="false">
      <c r="A53" s="6" t="s">
        <v>64</v>
      </c>
      <c r="B53" s="6"/>
      <c r="C53" s="8"/>
      <c r="D53" s="8"/>
      <c r="E53" s="8"/>
      <c r="F53" s="8"/>
      <c r="G53" s="8"/>
    </row>
    <row r="54" customFormat="false" ht="33.75" hidden="false" customHeight="true" outlineLevel="0" collapsed="false">
      <c r="A54" s="6" t="s">
        <v>65</v>
      </c>
      <c r="B54" s="6"/>
      <c r="C54" s="8"/>
      <c r="D54" s="8"/>
      <c r="E54" s="8"/>
      <c r="F54" s="8"/>
      <c r="G54" s="8"/>
    </row>
    <row r="56" customFormat="false" ht="21.75" hidden="false" customHeight="true" outlineLevel="0" collapsed="false">
      <c r="A56" s="5" t="s">
        <v>66</v>
      </c>
      <c r="B56" s="5"/>
      <c r="C56" s="5"/>
      <c r="D56" s="5"/>
      <c r="E56" s="5"/>
      <c r="F56" s="5"/>
      <c r="G56" s="5"/>
    </row>
    <row r="57" customFormat="false" ht="15" hidden="false" customHeight="true" outlineLevel="0" collapsed="false">
      <c r="A57" s="6" t="s">
        <v>67</v>
      </c>
      <c r="B57" s="6"/>
      <c r="C57" s="19"/>
      <c r="D57" s="20" t="str">
        <f aca="false">IF(C57="","",IF(C57&gt;=9,"→ このまま紹介をお願いする",IF(C57&gt;=7,"→ 困りごとを聞いてから、紹介をお願いする","→ 紹介はお願いせず、困りごとを先に直す")))</f>
        <v/>
      </c>
      <c r="E57" s="20"/>
      <c r="F57" s="20"/>
      <c r="G57" s="20"/>
    </row>
    <row r="58" customFormat="false" ht="30" hidden="false" customHeight="true" outlineLevel="0" collapsed="false">
      <c r="A58" s="6" t="s">
        <v>68</v>
      </c>
      <c r="B58" s="6"/>
      <c r="C58" s="8"/>
      <c r="D58" s="8"/>
      <c r="E58" s="8"/>
      <c r="F58" s="8"/>
      <c r="G58" s="8"/>
    </row>
    <row r="59" customFormat="false" ht="15" hidden="false" customHeight="true" outlineLevel="0" collapsed="false">
      <c r="A59" s="6" t="s">
        <v>69</v>
      </c>
      <c r="B59" s="6"/>
      <c r="C59" s="8"/>
      <c r="D59" s="8"/>
      <c r="E59" s="8"/>
      <c r="F59" s="8"/>
      <c r="G59" s="8"/>
    </row>
    <row r="61" customFormat="false" ht="43.5" hidden="false" customHeight="true" outlineLevel="0" collapsed="false">
      <c r="A61" s="2" t="s">
        <v>70</v>
      </c>
      <c r="B61" s="2"/>
      <c r="C61" s="2"/>
      <c r="D61" s="2"/>
      <c r="E61" s="2"/>
      <c r="F61" s="2"/>
      <c r="G61" s="2"/>
    </row>
    <row r="62" customFormat="false" ht="15" hidden="false" customHeight="true" outlineLevel="0" collapsed="false">
      <c r="A62" s="3" t="s">
        <v>71</v>
      </c>
      <c r="B62" s="3"/>
      <c r="C62" s="3" t="s">
        <v>72</v>
      </c>
      <c r="D62" s="3"/>
      <c r="E62" s="3" t="s">
        <v>73</v>
      </c>
      <c r="F62" s="3"/>
      <c r="G62" s="3" t="s">
        <v>74</v>
      </c>
    </row>
    <row r="63" customFormat="false" ht="15" hidden="false" customHeight="false" outlineLevel="0" collapsed="false">
      <c r="A63" s="8"/>
      <c r="B63" s="8"/>
      <c r="C63" s="8"/>
      <c r="D63" s="8"/>
      <c r="E63" s="8"/>
      <c r="F63" s="8"/>
      <c r="G63" s="7"/>
    </row>
    <row r="64" customFormat="false" ht="15" hidden="false" customHeight="false" outlineLevel="0" collapsed="false">
      <c r="A64" s="8"/>
      <c r="B64" s="8"/>
      <c r="C64" s="8"/>
      <c r="D64" s="8"/>
      <c r="E64" s="8"/>
      <c r="F64" s="8"/>
      <c r="G64" s="7"/>
    </row>
    <row r="65" customFormat="false" ht="15" hidden="false" customHeight="false" outlineLevel="0" collapsed="false">
      <c r="A65" s="8"/>
      <c r="B65" s="8"/>
      <c r="C65" s="8"/>
      <c r="D65" s="8"/>
      <c r="E65" s="8"/>
      <c r="F65" s="8"/>
      <c r="G65" s="7"/>
    </row>
    <row r="67" customFormat="false" ht="26.85" hidden="false" customHeight="true" outlineLevel="0" collapsed="false">
      <c r="A67" s="6" t="s">
        <v>75</v>
      </c>
      <c r="B67" s="6"/>
      <c r="C67" s="8"/>
      <c r="D67" s="8"/>
      <c r="E67" s="8"/>
      <c r="F67" s="8"/>
      <c r="G67" s="8"/>
    </row>
    <row r="69" customFormat="false" ht="21.75" hidden="false" customHeight="true" outlineLevel="0" collapsed="false">
      <c r="A69" s="21" t="s">
        <v>76</v>
      </c>
      <c r="B69" s="21"/>
      <c r="C69" s="21"/>
      <c r="D69" s="21"/>
      <c r="E69" s="21"/>
      <c r="F69" s="21"/>
      <c r="G69" s="21"/>
    </row>
    <row r="70" customFormat="false" ht="15" hidden="false" customHeight="true" outlineLevel="0" collapsed="false">
      <c r="A70" s="9" t="s">
        <v>77</v>
      </c>
      <c r="B70" s="9"/>
      <c r="C70" s="9"/>
      <c r="D70" s="9"/>
      <c r="E70" s="9"/>
      <c r="F70" s="9"/>
      <c r="G70" s="22" t="s">
        <v>78</v>
      </c>
    </row>
    <row r="71" customFormat="false" ht="15" hidden="false" customHeight="true" outlineLevel="0" collapsed="false">
      <c r="A71" s="9" t="s">
        <v>79</v>
      </c>
      <c r="B71" s="9"/>
      <c r="C71" s="9"/>
      <c r="D71" s="9"/>
      <c r="E71" s="9"/>
      <c r="F71" s="9"/>
      <c r="G71" s="22" t="s">
        <v>78</v>
      </c>
    </row>
    <row r="72" customFormat="false" ht="15" hidden="false" customHeight="true" outlineLevel="0" collapsed="false">
      <c r="A72" s="9" t="s">
        <v>80</v>
      </c>
      <c r="B72" s="9"/>
      <c r="C72" s="9"/>
      <c r="D72" s="9"/>
      <c r="E72" s="9"/>
      <c r="F72" s="9"/>
      <c r="G72" s="22" t="s">
        <v>78</v>
      </c>
    </row>
    <row r="73" customFormat="false" ht="15" hidden="false" customHeight="true" outlineLevel="0" collapsed="false">
      <c r="A73" s="9" t="s">
        <v>81</v>
      </c>
      <c r="B73" s="9"/>
      <c r="C73" s="9"/>
      <c r="D73" s="9"/>
      <c r="E73" s="9"/>
      <c r="F73" s="9"/>
      <c r="G73" s="22" t="s">
        <v>78</v>
      </c>
    </row>
  </sheetData>
  <mergeCells count="97">
    <mergeCell ref="A1:G1"/>
    <mergeCell ref="A2:G2"/>
    <mergeCell ref="A3:B3"/>
    <mergeCell ref="C3:G3"/>
    <mergeCell ref="A4:G4"/>
    <mergeCell ref="A5:B5"/>
    <mergeCell ref="C5:G5"/>
    <mergeCell ref="A6:B6"/>
    <mergeCell ref="C6:G6"/>
    <mergeCell ref="A7:B7"/>
    <mergeCell ref="C7:G7"/>
    <mergeCell ref="A8:B8"/>
    <mergeCell ref="C8:G8"/>
    <mergeCell ref="A9:B9"/>
    <mergeCell ref="C9:G9"/>
    <mergeCell ref="A10:B10"/>
    <mergeCell ref="C10:G10"/>
    <mergeCell ref="A11:B11"/>
    <mergeCell ref="C11:G11"/>
    <mergeCell ref="A12:B12"/>
    <mergeCell ref="C12:G12"/>
    <mergeCell ref="A13:B13"/>
    <mergeCell ref="C13:G13"/>
    <mergeCell ref="A15:G15"/>
    <mergeCell ref="A16:B16"/>
    <mergeCell ref="C16:G16"/>
    <mergeCell ref="A17:B17"/>
    <mergeCell ref="C17:G17"/>
    <mergeCell ref="A18:B18"/>
    <mergeCell ref="C18:G18"/>
    <mergeCell ref="A19:B19"/>
    <mergeCell ref="C19:G19"/>
    <mergeCell ref="A20:B20"/>
    <mergeCell ref="C20:G20"/>
    <mergeCell ref="A21:B21"/>
    <mergeCell ref="C21:G21"/>
    <mergeCell ref="A23:G23"/>
    <mergeCell ref="A37:B37"/>
    <mergeCell ref="C37:G37"/>
    <mergeCell ref="A39:G39"/>
    <mergeCell ref="B40:C40"/>
    <mergeCell ref="D40:G40"/>
    <mergeCell ref="B41:C41"/>
    <mergeCell ref="D41:G41"/>
    <mergeCell ref="B42:C42"/>
    <mergeCell ref="D42:G42"/>
    <mergeCell ref="B43:C43"/>
    <mergeCell ref="D43:G43"/>
    <mergeCell ref="B44:C44"/>
    <mergeCell ref="D44:G44"/>
    <mergeCell ref="B45:C45"/>
    <mergeCell ref="D45:G45"/>
    <mergeCell ref="B46:C46"/>
    <mergeCell ref="D46:G46"/>
    <mergeCell ref="B47:C47"/>
    <mergeCell ref="D47:G47"/>
    <mergeCell ref="B48:C48"/>
    <mergeCell ref="D48:G48"/>
    <mergeCell ref="B49:C49"/>
    <mergeCell ref="D49:G49"/>
    <mergeCell ref="A50:B50"/>
    <mergeCell ref="C50:G50"/>
    <mergeCell ref="A51:B51"/>
    <mergeCell ref="C51:G51"/>
    <mergeCell ref="A52:B52"/>
    <mergeCell ref="C52:G52"/>
    <mergeCell ref="A53:B53"/>
    <mergeCell ref="C53:G53"/>
    <mergeCell ref="A54:B54"/>
    <mergeCell ref="C54:G54"/>
    <mergeCell ref="A56:G56"/>
    <mergeCell ref="A57:B57"/>
    <mergeCell ref="D57:G57"/>
    <mergeCell ref="A58:B58"/>
    <mergeCell ref="C58:G58"/>
    <mergeCell ref="A59:B59"/>
    <mergeCell ref="C59:G59"/>
    <mergeCell ref="A61:G61"/>
    <mergeCell ref="A62:B62"/>
    <mergeCell ref="C62:D62"/>
    <mergeCell ref="E62:F62"/>
    <mergeCell ref="A63:B63"/>
    <mergeCell ref="C63:D63"/>
    <mergeCell ref="E63:F63"/>
    <mergeCell ref="A64:B64"/>
    <mergeCell ref="C64:D64"/>
    <mergeCell ref="E64:F64"/>
    <mergeCell ref="A65:B65"/>
    <mergeCell ref="C65:D65"/>
    <mergeCell ref="E65:F65"/>
    <mergeCell ref="A67:B67"/>
    <mergeCell ref="C67:G67"/>
    <mergeCell ref="A69:G69"/>
    <mergeCell ref="A70:F70"/>
    <mergeCell ref="A71:F71"/>
    <mergeCell ref="A72:F72"/>
    <mergeCell ref="A73:F73"/>
  </mergeCells>
  <dataValidations count="5">
    <dataValidation allowBlank="true" errorStyle="stop" operator="between" showDropDown="false" showErrorMessage="false" showInputMessage="false" sqref="B41:B49" type="list">
      <formula1>"毎日使う,ときどき,使っていない"</formula1>
      <formula2>0</formula2>
    </dataValidation>
    <dataValidation allowBlank="true" errorStyle="stop" operator="between" showDropDown="false" showErrorMessage="false" showInputMessage="false" sqref="C57" type="whole">
      <formula1>0</formula1>
      <formula2>10</formula2>
    </dataValidation>
    <dataValidation allowBlank="true" errorStyle="stop" operator="between" showDropDown="false" showErrorMessage="false" showInputMessage="false" sqref="C59" type="list">
      <formula1>"とても困る,少し困る,困らない"</formula1>
      <formula2>0</formula2>
    </dataValidation>
    <dataValidation allowBlank="true" errorStyle="stop" operator="between" showDropDown="false" showErrorMessage="false" showInputMessage="false" sqref="C67" type="list">
      <formula1>"店名を出してよい,店名は出さずに,店名なし・写真もよい,使わないでほしい"</formula1>
      <formula2>0</formula2>
    </dataValidation>
    <dataValidation allowBlank="true" errorStyle="stop" operator="between" showDropDown="false" showErrorMessage="false" showInputMessage="false" sqref="G70:G73" type="list">
      <formula1>"まだ,済み"</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4" min="3" style="0" width="14"/>
    <col collapsed="false" customWidth="true" hidden="false" outlineLevel="0" max="5" min="5" style="0" width="13"/>
    <col collapsed="false" customWidth="true" hidden="false" outlineLevel="0" max="6" min="6" style="0" width="12"/>
    <col collapsed="false" customWidth="true" hidden="false" outlineLevel="0" max="7" min="7" style="0" width="30"/>
  </cols>
  <sheetData>
    <row r="1" customFormat="false" ht="25.5" hidden="false" customHeight="true" outlineLevel="0" collapsed="false">
      <c r="A1" s="1" t="s">
        <v>0</v>
      </c>
      <c r="B1" s="1"/>
      <c r="C1" s="1"/>
      <c r="D1" s="1"/>
      <c r="E1" s="1"/>
      <c r="F1" s="1"/>
      <c r="G1" s="1"/>
    </row>
    <row r="2" customFormat="false" ht="30" hidden="false" customHeight="true" outlineLevel="0" collapsed="false">
      <c r="A2" s="2" t="s">
        <v>1</v>
      </c>
      <c r="B2" s="2"/>
      <c r="C2" s="2"/>
      <c r="D2" s="2"/>
      <c r="E2" s="2"/>
      <c r="F2" s="2"/>
      <c r="G2" s="2"/>
    </row>
    <row r="3" customFormat="false" ht="15" hidden="false" customHeight="true" outlineLevel="0" collapsed="false">
      <c r="A3" s="3" t="s">
        <v>2</v>
      </c>
      <c r="B3" s="3"/>
      <c r="C3" s="4" t="n">
        <v>33000</v>
      </c>
      <c r="D3" s="4"/>
      <c r="E3" s="4"/>
      <c r="F3" s="4"/>
      <c r="G3" s="4"/>
    </row>
    <row r="4" customFormat="false" ht="21.75" hidden="false" customHeight="true" outlineLevel="0" collapsed="false">
      <c r="A4" s="5" t="s">
        <v>3</v>
      </c>
      <c r="B4" s="5"/>
      <c r="C4" s="5"/>
      <c r="D4" s="5"/>
      <c r="E4" s="5"/>
      <c r="F4" s="5"/>
      <c r="G4" s="5"/>
    </row>
    <row r="5" customFormat="false" ht="15" hidden="false" customHeight="true" outlineLevel="0" collapsed="false">
      <c r="A5" s="6" t="s">
        <v>4</v>
      </c>
      <c r="B5" s="6"/>
      <c r="C5" s="7" t="n">
        <v>46331</v>
      </c>
      <c r="D5" s="7"/>
      <c r="E5" s="7"/>
      <c r="F5" s="7"/>
      <c r="G5" s="7"/>
    </row>
    <row r="6" customFormat="false" ht="15" hidden="false" customHeight="true" outlineLevel="0" collapsed="false">
      <c r="A6" s="6" t="s">
        <v>5</v>
      </c>
      <c r="B6" s="6"/>
      <c r="C6" s="23" t="s">
        <v>82</v>
      </c>
      <c r="D6" s="23"/>
      <c r="E6" s="23"/>
      <c r="F6" s="23"/>
      <c r="G6" s="23"/>
    </row>
    <row r="7" customFormat="false" ht="15" hidden="false" customHeight="true" outlineLevel="0" collapsed="false">
      <c r="A7" s="6" t="s">
        <v>6</v>
      </c>
      <c r="B7" s="6"/>
      <c r="C7" s="23" t="s">
        <v>83</v>
      </c>
      <c r="D7" s="23"/>
      <c r="E7" s="23"/>
      <c r="F7" s="23"/>
      <c r="G7" s="23"/>
    </row>
    <row r="8" customFormat="false" ht="15" hidden="false" customHeight="true" outlineLevel="0" collapsed="false">
      <c r="A8" s="6" t="s">
        <v>7</v>
      </c>
      <c r="B8" s="6"/>
      <c r="C8" s="23" t="s">
        <v>84</v>
      </c>
      <c r="D8" s="23"/>
      <c r="E8" s="23"/>
      <c r="F8" s="23"/>
      <c r="G8" s="23"/>
    </row>
    <row r="9" customFormat="false" ht="15" hidden="false" customHeight="true" outlineLevel="0" collapsed="false">
      <c r="A9" s="6" t="s">
        <v>8</v>
      </c>
      <c r="B9" s="6"/>
      <c r="C9" s="7" t="n">
        <v>46235</v>
      </c>
      <c r="D9" s="7"/>
      <c r="E9" s="7"/>
      <c r="F9" s="7"/>
      <c r="G9" s="7"/>
    </row>
    <row r="10" customFormat="false" ht="15" hidden="false" customHeight="true" outlineLevel="0" collapsed="false">
      <c r="A10" s="6" t="s">
        <v>9</v>
      </c>
      <c r="B10" s="6"/>
      <c r="C10" s="23" t="s">
        <v>85</v>
      </c>
      <c r="D10" s="23"/>
      <c r="E10" s="23"/>
      <c r="F10" s="23"/>
      <c r="G10" s="23"/>
    </row>
    <row r="11" customFormat="false" ht="15" hidden="false" customHeight="true" outlineLevel="0" collapsed="false">
      <c r="A11" s="6" t="s">
        <v>10</v>
      </c>
      <c r="B11" s="6"/>
      <c r="C11" s="8" t="s">
        <v>86</v>
      </c>
      <c r="D11" s="8"/>
      <c r="E11" s="8"/>
      <c r="F11" s="8"/>
      <c r="G11" s="8"/>
    </row>
    <row r="12" customFormat="false" ht="15" hidden="false" customHeight="true" outlineLevel="0" collapsed="false">
      <c r="A12" s="6" t="s">
        <v>11</v>
      </c>
      <c r="B12" s="6"/>
      <c r="C12" s="23" t="s">
        <v>87</v>
      </c>
      <c r="D12" s="23"/>
      <c r="E12" s="23"/>
      <c r="F12" s="23"/>
      <c r="G12" s="23"/>
    </row>
    <row r="13" customFormat="false" ht="15" hidden="false" customHeight="true" outlineLevel="0" collapsed="false">
      <c r="A13" s="6" t="s">
        <v>12</v>
      </c>
      <c r="B13" s="6"/>
      <c r="C13" s="23" t="s">
        <v>88</v>
      </c>
      <c r="D13" s="23"/>
      <c r="E13" s="23"/>
      <c r="F13" s="23"/>
      <c r="G13" s="23"/>
    </row>
    <row r="15" customFormat="false" ht="21.75" hidden="false" customHeight="true" outlineLevel="0" collapsed="false">
      <c r="A15" s="5" t="s">
        <v>13</v>
      </c>
      <c r="B15" s="5"/>
      <c r="C15" s="5"/>
      <c r="D15" s="5"/>
      <c r="E15" s="5"/>
      <c r="F15" s="5"/>
      <c r="G15" s="5"/>
    </row>
    <row r="16" customFormat="false" ht="33.75" hidden="false" customHeight="true" outlineLevel="0" collapsed="false">
      <c r="A16" s="6" t="s">
        <v>14</v>
      </c>
      <c r="B16" s="6"/>
      <c r="C16" s="23" t="s">
        <v>89</v>
      </c>
      <c r="D16" s="23"/>
      <c r="E16" s="23"/>
      <c r="F16" s="23"/>
      <c r="G16" s="23"/>
    </row>
    <row r="17" customFormat="false" ht="33.75" hidden="false" customHeight="true" outlineLevel="0" collapsed="false">
      <c r="A17" s="6" t="s">
        <v>15</v>
      </c>
      <c r="B17" s="6"/>
      <c r="C17" s="23" t="s">
        <v>90</v>
      </c>
      <c r="D17" s="23"/>
      <c r="E17" s="23"/>
      <c r="F17" s="23"/>
      <c r="G17" s="23"/>
    </row>
    <row r="18" customFormat="false" ht="33.75" hidden="false" customHeight="true" outlineLevel="0" collapsed="false">
      <c r="A18" s="6" t="s">
        <v>16</v>
      </c>
      <c r="B18" s="6"/>
      <c r="C18" s="8"/>
      <c r="D18" s="8"/>
      <c r="E18" s="8"/>
      <c r="F18" s="8"/>
      <c r="G18" s="8"/>
    </row>
    <row r="19" customFormat="false" ht="33.75" hidden="false" customHeight="true" outlineLevel="0" collapsed="false">
      <c r="A19" s="6" t="s">
        <v>17</v>
      </c>
      <c r="B19" s="6"/>
      <c r="C19" s="8"/>
      <c r="D19" s="8"/>
      <c r="E19" s="8"/>
      <c r="F19" s="8"/>
      <c r="G19" s="8"/>
    </row>
    <row r="20" customFormat="false" ht="33.75" hidden="false" customHeight="true" outlineLevel="0" collapsed="false">
      <c r="A20" s="6" t="s">
        <v>18</v>
      </c>
      <c r="B20" s="6"/>
      <c r="C20" s="23" t="s">
        <v>91</v>
      </c>
      <c r="D20" s="23"/>
      <c r="E20" s="23"/>
      <c r="F20" s="23"/>
      <c r="G20" s="23"/>
    </row>
    <row r="21" customFormat="false" ht="33.75" hidden="false" customHeight="true" outlineLevel="0" collapsed="false">
      <c r="A21" s="6" t="s">
        <v>19</v>
      </c>
      <c r="B21" s="6"/>
      <c r="C21" s="8"/>
      <c r="D21" s="8"/>
      <c r="E21" s="8"/>
      <c r="F21" s="8"/>
      <c r="G21" s="8"/>
    </row>
    <row r="23" customFormat="false" ht="21.75" hidden="false" customHeight="true" outlineLevel="0" collapsed="false">
      <c r="A23" s="5" t="s">
        <v>20</v>
      </c>
      <c r="B23" s="5"/>
      <c r="C23" s="5"/>
      <c r="D23" s="5"/>
      <c r="E23" s="5"/>
      <c r="F23" s="5"/>
      <c r="G23" s="5"/>
    </row>
    <row r="24" customFormat="false" ht="15" hidden="false" customHeight="false" outlineLevel="0" collapsed="false">
      <c r="A24" s="3" t="s">
        <v>21</v>
      </c>
      <c r="B24" s="3" t="s">
        <v>22</v>
      </c>
      <c r="C24" s="3" t="s">
        <v>23</v>
      </c>
      <c r="D24" s="3" t="s">
        <v>24</v>
      </c>
      <c r="E24" s="3" t="s">
        <v>25</v>
      </c>
      <c r="F24" s="3" t="s">
        <v>26</v>
      </c>
      <c r="G24" s="3" t="s">
        <v>27</v>
      </c>
    </row>
    <row r="25" customFormat="false" ht="26.85" hidden="false" customHeight="false" outlineLevel="0" collapsed="false">
      <c r="A25" s="9" t="s">
        <v>28</v>
      </c>
      <c r="B25" s="10" t="s">
        <v>29</v>
      </c>
      <c r="C25" s="11" t="n">
        <v>40</v>
      </c>
      <c r="D25" s="11" t="n">
        <v>10</v>
      </c>
      <c r="E25" s="12" t="n">
        <f aca="false">IF(OR(C25="",D25=""),"",C25-D25)</f>
        <v>30</v>
      </c>
      <c r="F25" s="13" t="n">
        <f aca="false">IF(OR(C25="",D25="",N(C25)=0),"",(C25-D25)/C25)</f>
        <v>0.75</v>
      </c>
      <c r="G25" s="23" t="s">
        <v>92</v>
      </c>
    </row>
    <row r="26" customFormat="false" ht="26.85" hidden="false" customHeight="false" outlineLevel="0" collapsed="false">
      <c r="A26" s="9" t="s">
        <v>30</v>
      </c>
      <c r="B26" s="10" t="s">
        <v>31</v>
      </c>
      <c r="C26" s="14" t="n">
        <v>10</v>
      </c>
      <c r="D26" s="14" t="n">
        <v>2</v>
      </c>
      <c r="E26" s="15" t="n">
        <f aca="false">IF(OR(C26="",D26=""),"",C26-D26)</f>
        <v>8</v>
      </c>
      <c r="F26" s="13" t="n">
        <f aca="false">IF(OR(C26="",D26="",N(C26)=0),"",(C26-D26)/C26)</f>
        <v>0.8</v>
      </c>
      <c r="G26" s="23" t="s">
        <v>93</v>
      </c>
    </row>
    <row r="27" customFormat="false" ht="15" hidden="false" customHeight="false" outlineLevel="0" collapsed="false">
      <c r="A27" s="9" t="s">
        <v>32</v>
      </c>
      <c r="B27" s="10" t="s">
        <v>31</v>
      </c>
      <c r="C27" s="14"/>
      <c r="D27" s="14"/>
      <c r="E27" s="15" t="str">
        <f aca="false">IF(OR(C27="",D27=""),"",C27-D27)</f>
        <v/>
      </c>
      <c r="F27" s="13" t="str">
        <f aca="false">IF(OR(C27="",D27="",N(C27)=0),"",(C27-D27)/C27)</f>
        <v/>
      </c>
      <c r="G27" s="8"/>
    </row>
    <row r="28" customFormat="false" ht="15" hidden="false" customHeight="false" outlineLevel="0" collapsed="false">
      <c r="A28" s="9" t="s">
        <v>33</v>
      </c>
      <c r="B28" s="10" t="s">
        <v>34</v>
      </c>
      <c r="C28" s="11" t="n">
        <v>15</v>
      </c>
      <c r="D28" s="11" t="n">
        <v>3</v>
      </c>
      <c r="E28" s="12" t="n">
        <f aca="false">IF(OR(C28="",D28=""),"",C28-D28)</f>
        <v>12</v>
      </c>
      <c r="F28" s="13" t="n">
        <f aca="false">IF(OR(C28="",D28="",N(C28)=0),"",(C28-D28)/C28)</f>
        <v>0.8</v>
      </c>
      <c r="G28" s="8"/>
    </row>
    <row r="29" customFormat="false" ht="15" hidden="false" customHeight="false" outlineLevel="0" collapsed="false">
      <c r="A29" s="9" t="s">
        <v>35</v>
      </c>
      <c r="B29" s="10" t="s">
        <v>34</v>
      </c>
      <c r="C29" s="11"/>
      <c r="D29" s="11"/>
      <c r="E29" s="12" t="str">
        <f aca="false">IF(OR(C29="",D29=""),"",C29-D29)</f>
        <v/>
      </c>
      <c r="F29" s="13" t="str">
        <f aca="false">IF(OR(C29="",D29="",N(C29)=0),"",(C29-D29)/C29)</f>
        <v/>
      </c>
      <c r="G29" s="8"/>
    </row>
    <row r="30" customFormat="false" ht="15" hidden="false" customHeight="false" outlineLevel="0" collapsed="false">
      <c r="A30" s="9" t="s">
        <v>36</v>
      </c>
      <c r="B30" s="10" t="s">
        <v>37</v>
      </c>
      <c r="C30" s="11"/>
      <c r="D30" s="11"/>
      <c r="E30" s="12" t="str">
        <f aca="false">IF(OR(C30="",D30=""),"",C30-D30)</f>
        <v/>
      </c>
      <c r="F30" s="13" t="str">
        <f aca="false">IF(OR(C30="",D30="",N(C30)=0),"",(C30-D30)/C30)</f>
        <v/>
      </c>
      <c r="G30" s="8"/>
    </row>
    <row r="31" customFormat="false" ht="15" hidden="false" customHeight="false" outlineLevel="0" collapsed="false">
      <c r="A31" s="9" t="s">
        <v>38</v>
      </c>
      <c r="B31" s="10" t="s">
        <v>39</v>
      </c>
      <c r="C31" s="11"/>
      <c r="D31" s="11"/>
      <c r="E31" s="12" t="str">
        <f aca="false">IF(OR(C31="",D31=""),"",C31-D31)</f>
        <v/>
      </c>
      <c r="F31" s="13" t="str">
        <f aca="false">IF(OR(C31="",D31="",N(C31)=0),"",(C31-D31)/C31)</f>
        <v/>
      </c>
      <c r="G31" s="8"/>
    </row>
    <row r="32" customFormat="false" ht="15" hidden="false" customHeight="false" outlineLevel="0" collapsed="false">
      <c r="A32" s="9" t="s">
        <v>40</v>
      </c>
      <c r="B32" s="10" t="s">
        <v>39</v>
      </c>
      <c r="C32" s="11"/>
      <c r="D32" s="11"/>
      <c r="E32" s="12" t="str">
        <f aca="false">IF(OR(C32="",D32=""),"",C32-D32)</f>
        <v/>
      </c>
      <c r="F32" s="13" t="str">
        <f aca="false">IF(OR(C32="",D32="",N(C32)=0),"",(C32-D32)/C32)</f>
        <v/>
      </c>
      <c r="G32" s="8"/>
    </row>
    <row r="33" customFormat="false" ht="26.85" hidden="false" customHeight="false" outlineLevel="0" collapsed="false">
      <c r="A33" s="9" t="s">
        <v>41</v>
      </c>
      <c r="B33" s="10" t="s">
        <v>42</v>
      </c>
      <c r="C33" s="11"/>
      <c r="D33" s="11"/>
      <c r="E33" s="12" t="str">
        <f aca="false">IF(OR(C33="",D33=""),"",C33-D33)</f>
        <v/>
      </c>
      <c r="F33" s="13" t="str">
        <f aca="false">IF(OR(C33="",D33="",N(C33)=0),"",(C33-D33)/C33)</f>
        <v/>
      </c>
      <c r="G33" s="8"/>
    </row>
    <row r="34" customFormat="false" ht="15" hidden="false" customHeight="false" outlineLevel="0" collapsed="false">
      <c r="A34" s="16" t="s">
        <v>43</v>
      </c>
      <c r="B34" s="10" t="s">
        <v>34</v>
      </c>
      <c r="C34" s="17" t="s">
        <v>44</v>
      </c>
      <c r="D34" s="11" t="n">
        <v>6</v>
      </c>
      <c r="E34" s="18"/>
      <c r="F34" s="18"/>
      <c r="G34" s="23" t="s">
        <v>94</v>
      </c>
    </row>
    <row r="35" customFormat="false" ht="15" hidden="false" customHeight="false" outlineLevel="0" collapsed="false">
      <c r="A35" s="16" t="s">
        <v>45</v>
      </c>
      <c r="B35" s="10" t="s">
        <v>39</v>
      </c>
      <c r="C35" s="17" t="s">
        <v>44</v>
      </c>
      <c r="D35" s="11" t="n">
        <v>3</v>
      </c>
      <c r="E35" s="18"/>
      <c r="F35" s="18"/>
      <c r="G35" s="8"/>
    </row>
    <row r="36" customFormat="false" ht="15" hidden="false" customHeight="false" outlineLevel="0" collapsed="false">
      <c r="A36" s="16" t="s">
        <v>46</v>
      </c>
      <c r="B36" s="10" t="s">
        <v>39</v>
      </c>
      <c r="C36" s="17" t="s">
        <v>44</v>
      </c>
      <c r="D36" s="11" t="n">
        <v>1</v>
      </c>
      <c r="E36" s="18"/>
      <c r="F36" s="18"/>
      <c r="G36" s="8"/>
    </row>
    <row r="37" customFormat="false" ht="33.75" hidden="false" customHeight="true" outlineLevel="0" collapsed="false">
      <c r="A37" s="3" t="s">
        <v>47</v>
      </c>
      <c r="B37" s="3"/>
      <c r="C37" s="23" t="s">
        <v>95</v>
      </c>
      <c r="D37" s="23"/>
      <c r="E37" s="23"/>
      <c r="F37" s="23"/>
      <c r="G37" s="23"/>
    </row>
    <row r="39" customFormat="false" ht="21.75" hidden="false" customHeight="true" outlineLevel="0" collapsed="false">
      <c r="A39" s="5" t="s">
        <v>48</v>
      </c>
      <c r="B39" s="5"/>
      <c r="C39" s="5"/>
      <c r="D39" s="5"/>
      <c r="E39" s="5"/>
      <c r="F39" s="5"/>
      <c r="G39" s="5"/>
    </row>
    <row r="40" customFormat="false" ht="15" hidden="false" customHeight="true" outlineLevel="0" collapsed="false">
      <c r="A40" s="3" t="s">
        <v>49</v>
      </c>
      <c r="B40" s="3" t="s">
        <v>50</v>
      </c>
      <c r="C40" s="3"/>
      <c r="D40" s="3" t="s">
        <v>51</v>
      </c>
      <c r="E40" s="3"/>
      <c r="F40" s="3"/>
      <c r="G40" s="3"/>
    </row>
    <row r="41" customFormat="false" ht="15" hidden="false" customHeight="true" outlineLevel="0" collapsed="false">
      <c r="A41" s="9" t="s">
        <v>52</v>
      </c>
      <c r="B41" s="23" t="s">
        <v>96</v>
      </c>
      <c r="C41" s="23"/>
      <c r="D41" s="8"/>
      <c r="E41" s="8"/>
      <c r="F41" s="8"/>
      <c r="G41" s="8"/>
    </row>
    <row r="42" customFormat="false" ht="26.85" hidden="false" customHeight="false" outlineLevel="0" collapsed="false">
      <c r="A42" s="9" t="s">
        <v>53</v>
      </c>
      <c r="B42" s="8"/>
      <c r="C42" s="8"/>
      <c r="D42" s="8"/>
      <c r="E42" s="8"/>
      <c r="F42" s="8"/>
      <c r="G42" s="8"/>
    </row>
    <row r="43" customFormat="false" ht="15" hidden="false" customHeight="false" outlineLevel="0" collapsed="false">
      <c r="A43" s="16" t="s">
        <v>54</v>
      </c>
      <c r="B43" s="8"/>
      <c r="C43" s="8"/>
      <c r="D43" s="8"/>
      <c r="E43" s="8"/>
      <c r="F43" s="8"/>
      <c r="G43" s="8"/>
    </row>
    <row r="44" customFormat="false" ht="15" hidden="false" customHeight="false" outlineLevel="0" collapsed="false">
      <c r="A44" s="9" t="s">
        <v>55</v>
      </c>
      <c r="B44" s="8"/>
      <c r="C44" s="8"/>
      <c r="D44" s="8"/>
      <c r="E44" s="8"/>
      <c r="F44" s="8"/>
      <c r="G44" s="8"/>
    </row>
    <row r="45" customFormat="false" ht="15" hidden="false" customHeight="true" outlineLevel="0" collapsed="false">
      <c r="A45" s="9" t="s">
        <v>56</v>
      </c>
      <c r="B45" s="23" t="s">
        <v>96</v>
      </c>
      <c r="C45" s="23"/>
      <c r="D45" s="8"/>
      <c r="E45" s="8"/>
      <c r="F45" s="8"/>
      <c r="G45" s="8"/>
    </row>
    <row r="46" customFormat="false" ht="15" hidden="false" customHeight="false" outlineLevel="0" collapsed="false">
      <c r="A46" s="9" t="s">
        <v>57</v>
      </c>
      <c r="B46" s="8"/>
      <c r="C46" s="8"/>
      <c r="D46" s="8"/>
      <c r="E46" s="8"/>
      <c r="F46" s="8"/>
      <c r="G46" s="8"/>
    </row>
    <row r="47" customFormat="false" ht="15" hidden="false" customHeight="false" outlineLevel="0" collapsed="false">
      <c r="A47" s="9" t="s">
        <v>58</v>
      </c>
      <c r="B47" s="8"/>
      <c r="C47" s="8"/>
      <c r="D47" s="8"/>
      <c r="E47" s="8"/>
      <c r="F47" s="8"/>
      <c r="G47" s="8"/>
    </row>
    <row r="48" customFormat="false" ht="15" hidden="false" customHeight="true" outlineLevel="0" collapsed="false">
      <c r="A48" s="9" t="s">
        <v>59</v>
      </c>
      <c r="B48" s="23" t="s">
        <v>97</v>
      </c>
      <c r="C48" s="23"/>
      <c r="D48" s="23" t="s">
        <v>98</v>
      </c>
      <c r="E48" s="23"/>
      <c r="F48" s="23"/>
      <c r="G48" s="23"/>
    </row>
    <row r="49" customFormat="false" ht="15" hidden="false" customHeight="true" outlineLevel="0" collapsed="false">
      <c r="A49" s="16" t="s">
        <v>60</v>
      </c>
      <c r="B49" s="23" t="s">
        <v>99</v>
      </c>
      <c r="C49" s="23"/>
      <c r="D49" s="8"/>
      <c r="E49" s="8"/>
      <c r="F49" s="8"/>
      <c r="G49" s="8"/>
    </row>
    <row r="50" customFormat="false" ht="33.75" hidden="false" customHeight="true" outlineLevel="0" collapsed="false">
      <c r="A50" s="6" t="s">
        <v>61</v>
      </c>
      <c r="B50" s="6"/>
      <c r="C50" s="8"/>
      <c r="D50" s="8"/>
      <c r="E50" s="8"/>
      <c r="F50" s="8"/>
      <c r="G50" s="8"/>
    </row>
    <row r="51" customFormat="false" ht="33.75" hidden="false" customHeight="true" outlineLevel="0" collapsed="false">
      <c r="A51" s="6" t="s">
        <v>62</v>
      </c>
      <c r="B51" s="6"/>
      <c r="C51" s="8"/>
      <c r="D51" s="8"/>
      <c r="E51" s="8"/>
      <c r="F51" s="8"/>
      <c r="G51" s="8"/>
    </row>
    <row r="52" customFormat="false" ht="33.75" hidden="false" customHeight="true" outlineLevel="0" collapsed="false">
      <c r="A52" s="6" t="s">
        <v>63</v>
      </c>
      <c r="B52" s="6"/>
      <c r="C52" s="23" t="s">
        <v>100</v>
      </c>
      <c r="D52" s="23"/>
      <c r="E52" s="23"/>
      <c r="F52" s="23"/>
      <c r="G52" s="23"/>
    </row>
    <row r="53" customFormat="false" ht="33.75" hidden="false" customHeight="true" outlineLevel="0" collapsed="false">
      <c r="A53" s="6" t="s">
        <v>64</v>
      </c>
      <c r="B53" s="6"/>
      <c r="C53" s="8"/>
      <c r="D53" s="8"/>
      <c r="E53" s="8"/>
      <c r="F53" s="8"/>
      <c r="G53" s="8"/>
    </row>
    <row r="54" customFormat="false" ht="33.75" hidden="false" customHeight="true" outlineLevel="0" collapsed="false">
      <c r="A54" s="6" t="s">
        <v>65</v>
      </c>
      <c r="B54" s="6"/>
      <c r="C54" s="8"/>
      <c r="D54" s="8"/>
      <c r="E54" s="8"/>
      <c r="F54" s="8"/>
      <c r="G54" s="8"/>
    </row>
    <row r="56" customFormat="false" ht="21.75" hidden="false" customHeight="true" outlineLevel="0" collapsed="false">
      <c r="A56" s="5" t="s">
        <v>66</v>
      </c>
      <c r="B56" s="5"/>
      <c r="C56" s="5"/>
      <c r="D56" s="5"/>
      <c r="E56" s="5"/>
      <c r="F56" s="5"/>
      <c r="G56" s="5"/>
    </row>
    <row r="57" customFormat="false" ht="15" hidden="false" customHeight="true" outlineLevel="0" collapsed="false">
      <c r="A57" s="6" t="s">
        <v>67</v>
      </c>
      <c r="B57" s="6"/>
      <c r="C57" s="19" t="n">
        <v>9</v>
      </c>
      <c r="D57" s="20" t="str">
        <f aca="false">IF(C57="","",IF(C57&gt;=9,"→ このまま紹介をお願いする",IF(C57&gt;=7,"→ 困りごとを聞いてから、紹介をお願いする","→ 紹介はお願いせず、困りごとを先に直す")))</f>
        <v>→ このまま紹介をお願いする</v>
      </c>
      <c r="E57" s="20"/>
      <c r="F57" s="20"/>
      <c r="G57" s="20"/>
    </row>
    <row r="58" customFormat="false" ht="30" hidden="false" customHeight="true" outlineLevel="0" collapsed="false">
      <c r="A58" s="6" t="s">
        <v>68</v>
      </c>
      <c r="B58" s="6"/>
      <c r="C58" s="23" t="s">
        <v>101</v>
      </c>
      <c r="D58" s="23"/>
      <c r="E58" s="23"/>
      <c r="F58" s="23"/>
      <c r="G58" s="23"/>
    </row>
    <row r="59" customFormat="false" ht="15" hidden="false" customHeight="true" outlineLevel="0" collapsed="false">
      <c r="A59" s="6" t="s">
        <v>69</v>
      </c>
      <c r="B59" s="6"/>
      <c r="C59" s="23" t="s">
        <v>102</v>
      </c>
      <c r="D59" s="23"/>
      <c r="E59" s="23"/>
      <c r="F59" s="23"/>
      <c r="G59" s="23"/>
    </row>
    <row r="61" customFormat="false" ht="43.5" hidden="false" customHeight="true" outlineLevel="0" collapsed="false">
      <c r="A61" s="2" t="s">
        <v>70</v>
      </c>
      <c r="B61" s="2"/>
      <c r="C61" s="2"/>
      <c r="D61" s="2"/>
      <c r="E61" s="2"/>
      <c r="F61" s="2"/>
      <c r="G61" s="2"/>
    </row>
    <row r="62" customFormat="false" ht="15" hidden="false" customHeight="true" outlineLevel="0" collapsed="false">
      <c r="A62" s="3" t="s">
        <v>71</v>
      </c>
      <c r="B62" s="3"/>
      <c r="C62" s="3" t="s">
        <v>72</v>
      </c>
      <c r="D62" s="3"/>
      <c r="E62" s="3" t="s">
        <v>73</v>
      </c>
      <c r="F62" s="3"/>
      <c r="G62" s="3" t="s">
        <v>74</v>
      </c>
    </row>
    <row r="63" customFormat="false" ht="26.85" hidden="false" customHeight="true" outlineLevel="0" collapsed="false">
      <c r="A63" s="23" t="s">
        <v>103</v>
      </c>
      <c r="B63" s="23"/>
      <c r="C63" s="23" t="s">
        <v>104</v>
      </c>
      <c r="D63" s="23"/>
      <c r="E63" s="23" t="s">
        <v>105</v>
      </c>
      <c r="F63" s="23"/>
      <c r="G63" s="7"/>
    </row>
    <row r="64" customFormat="false" ht="15" hidden="false" customHeight="false" outlineLevel="0" collapsed="false">
      <c r="A64" s="8"/>
      <c r="B64" s="8"/>
      <c r="C64" s="8"/>
      <c r="D64" s="8"/>
      <c r="E64" s="8"/>
      <c r="F64" s="8"/>
      <c r="G64" s="7"/>
    </row>
    <row r="65" customFormat="false" ht="15" hidden="false" customHeight="false" outlineLevel="0" collapsed="false">
      <c r="A65" s="8"/>
      <c r="B65" s="8"/>
      <c r="C65" s="8"/>
      <c r="D65" s="8"/>
      <c r="E65" s="8"/>
      <c r="F65" s="8"/>
      <c r="G65" s="7"/>
    </row>
    <row r="67" customFormat="false" ht="26.85" hidden="false" customHeight="true" outlineLevel="0" collapsed="false">
      <c r="A67" s="6" t="s">
        <v>75</v>
      </c>
      <c r="B67" s="6"/>
      <c r="C67" s="23" t="s">
        <v>106</v>
      </c>
      <c r="D67" s="23"/>
      <c r="E67" s="23"/>
      <c r="F67" s="23"/>
      <c r="G67" s="23"/>
    </row>
    <row r="69" customFormat="false" ht="21.75" hidden="false" customHeight="true" outlineLevel="0" collapsed="false">
      <c r="A69" s="21" t="s">
        <v>76</v>
      </c>
      <c r="B69" s="21"/>
      <c r="C69" s="21"/>
      <c r="D69" s="21"/>
      <c r="E69" s="21"/>
      <c r="F69" s="21"/>
      <c r="G69" s="21"/>
    </row>
    <row r="70" customFormat="false" ht="15" hidden="false" customHeight="true" outlineLevel="0" collapsed="false">
      <c r="A70" s="9" t="s">
        <v>77</v>
      </c>
      <c r="B70" s="9"/>
      <c r="C70" s="9"/>
      <c r="D70" s="9"/>
      <c r="E70" s="9"/>
      <c r="F70" s="9"/>
      <c r="G70" s="22" t="s">
        <v>78</v>
      </c>
    </row>
    <row r="71" customFormat="false" ht="15" hidden="false" customHeight="true" outlineLevel="0" collapsed="false">
      <c r="A71" s="9" t="s">
        <v>79</v>
      </c>
      <c r="B71" s="9"/>
      <c r="C71" s="9"/>
      <c r="D71" s="9"/>
      <c r="E71" s="9"/>
      <c r="F71" s="9"/>
      <c r="G71" s="22" t="s">
        <v>78</v>
      </c>
    </row>
    <row r="72" customFormat="false" ht="15" hidden="false" customHeight="true" outlineLevel="0" collapsed="false">
      <c r="A72" s="9" t="s">
        <v>80</v>
      </c>
      <c r="B72" s="9"/>
      <c r="C72" s="9"/>
      <c r="D72" s="9"/>
      <c r="E72" s="9"/>
      <c r="F72" s="9"/>
      <c r="G72" s="22" t="s">
        <v>78</v>
      </c>
    </row>
    <row r="73" customFormat="false" ht="15" hidden="false" customHeight="true" outlineLevel="0" collapsed="false">
      <c r="A73" s="9" t="s">
        <v>81</v>
      </c>
      <c r="B73" s="9"/>
      <c r="C73" s="9"/>
      <c r="D73" s="9"/>
      <c r="E73" s="9"/>
      <c r="F73" s="9"/>
      <c r="G73" s="22" t="s">
        <v>78</v>
      </c>
    </row>
  </sheetData>
  <mergeCells count="97">
    <mergeCell ref="A1:G1"/>
    <mergeCell ref="A2:G2"/>
    <mergeCell ref="A3:B3"/>
    <mergeCell ref="C3:G3"/>
    <mergeCell ref="A4:G4"/>
    <mergeCell ref="A5:B5"/>
    <mergeCell ref="C5:G5"/>
    <mergeCell ref="A6:B6"/>
    <mergeCell ref="C6:G6"/>
    <mergeCell ref="A7:B7"/>
    <mergeCell ref="C7:G7"/>
    <mergeCell ref="A8:B8"/>
    <mergeCell ref="C8:G8"/>
    <mergeCell ref="A9:B9"/>
    <mergeCell ref="C9:G9"/>
    <mergeCell ref="A10:B10"/>
    <mergeCell ref="C10:G10"/>
    <mergeCell ref="A11:B11"/>
    <mergeCell ref="C11:G11"/>
    <mergeCell ref="A12:B12"/>
    <mergeCell ref="C12:G12"/>
    <mergeCell ref="A13:B13"/>
    <mergeCell ref="C13:G13"/>
    <mergeCell ref="A15:G15"/>
    <mergeCell ref="A16:B16"/>
    <mergeCell ref="C16:G16"/>
    <mergeCell ref="A17:B17"/>
    <mergeCell ref="C17:G17"/>
    <mergeCell ref="A18:B18"/>
    <mergeCell ref="C18:G18"/>
    <mergeCell ref="A19:B19"/>
    <mergeCell ref="C19:G19"/>
    <mergeCell ref="A20:B20"/>
    <mergeCell ref="C20:G20"/>
    <mergeCell ref="A21:B21"/>
    <mergeCell ref="C21:G21"/>
    <mergeCell ref="A23:G23"/>
    <mergeCell ref="A37:B37"/>
    <mergeCell ref="C37:G37"/>
    <mergeCell ref="A39:G39"/>
    <mergeCell ref="B40:C40"/>
    <mergeCell ref="D40:G40"/>
    <mergeCell ref="B41:C41"/>
    <mergeCell ref="D41:G41"/>
    <mergeCell ref="B42:C42"/>
    <mergeCell ref="D42:G42"/>
    <mergeCell ref="B43:C43"/>
    <mergeCell ref="D43:G43"/>
    <mergeCell ref="B44:C44"/>
    <mergeCell ref="D44:G44"/>
    <mergeCell ref="B45:C45"/>
    <mergeCell ref="D45:G45"/>
    <mergeCell ref="B46:C46"/>
    <mergeCell ref="D46:G46"/>
    <mergeCell ref="B47:C47"/>
    <mergeCell ref="D47:G47"/>
    <mergeCell ref="B48:C48"/>
    <mergeCell ref="D48:G48"/>
    <mergeCell ref="B49:C49"/>
    <mergeCell ref="D49:G49"/>
    <mergeCell ref="A50:B50"/>
    <mergeCell ref="C50:G50"/>
    <mergeCell ref="A51:B51"/>
    <mergeCell ref="C51:G51"/>
    <mergeCell ref="A52:B52"/>
    <mergeCell ref="C52:G52"/>
    <mergeCell ref="A53:B53"/>
    <mergeCell ref="C53:G53"/>
    <mergeCell ref="A54:B54"/>
    <mergeCell ref="C54:G54"/>
    <mergeCell ref="A56:G56"/>
    <mergeCell ref="A57:B57"/>
    <mergeCell ref="D57:G57"/>
    <mergeCell ref="A58:B58"/>
    <mergeCell ref="C58:G58"/>
    <mergeCell ref="A59:B59"/>
    <mergeCell ref="C59:G59"/>
    <mergeCell ref="A61:G61"/>
    <mergeCell ref="A62:B62"/>
    <mergeCell ref="C62:D62"/>
    <mergeCell ref="E62:F62"/>
    <mergeCell ref="A63:B63"/>
    <mergeCell ref="C63:D63"/>
    <mergeCell ref="E63:F63"/>
    <mergeCell ref="A64:B64"/>
    <mergeCell ref="C64:D64"/>
    <mergeCell ref="E64:F64"/>
    <mergeCell ref="A65:B65"/>
    <mergeCell ref="C65:D65"/>
    <mergeCell ref="E65:F65"/>
    <mergeCell ref="A67:B67"/>
    <mergeCell ref="C67:G67"/>
    <mergeCell ref="A69:G69"/>
    <mergeCell ref="A70:F70"/>
    <mergeCell ref="A71:F71"/>
    <mergeCell ref="A72:F72"/>
    <mergeCell ref="A73:F73"/>
  </mergeCells>
  <dataValidations count="5">
    <dataValidation allowBlank="true" errorStyle="stop" operator="between" showDropDown="false" showErrorMessage="false" showInputMessage="false" sqref="B41:B49" type="list">
      <formula1>"毎日使う,ときどき,使っていない"</formula1>
      <formula2>0</formula2>
    </dataValidation>
    <dataValidation allowBlank="true" errorStyle="stop" operator="between" showDropDown="false" showErrorMessage="false" showInputMessage="false" sqref="C57" type="whole">
      <formula1>0</formula1>
      <formula2>10</formula2>
    </dataValidation>
    <dataValidation allowBlank="true" errorStyle="stop" operator="between" showDropDown="false" showErrorMessage="false" showInputMessage="false" sqref="C59" type="list">
      <formula1>"とても困る,少し困る,困らない"</formula1>
      <formula2>0</formula2>
    </dataValidation>
    <dataValidation allowBlank="true" errorStyle="stop" operator="between" showDropDown="false" showErrorMessage="false" showInputMessage="false" sqref="C67" type="list">
      <formula1>"店名を出してよい,店名は出さずに,店名なし・写真もよい,使わないでほしい"</formula1>
      <formula2>0</formula2>
    </dataValidation>
    <dataValidation allowBlank="true" errorStyle="stop" operator="between" showDropDown="false" showErrorMessage="false" showInputMessage="false" sqref="G70:G73" type="list">
      <formula1>"まだ,済み"</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2026-10-31T08:10:12Z</dcterms:created>
  <dc:creator>openpyxl</dc:creator>
  <dc:description/>
  <dc:language>en-US</dc:language>
  <cp:lastModifiedBy/>
  <dcterms:modified xsi:type="dcterms:W3CDTF">2026-10-31T08:10:12Z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