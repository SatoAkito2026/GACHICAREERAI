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使い方" sheetId="1" state="visible" r:id="rId3"/>
    <sheet name="一覧" sheetId="2" state="visible" r:id="rId4"/>
    <sheet name="店舗1" sheetId="3" state="visible" r:id="rId5"/>
    <sheet name="店舗2" sheetId="4" state="visible" r:id="rId6"/>
    <sheet name="店舗3" sheetId="5" state="visible" r:id="rId7"/>
    <sheet name="記入例"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<sst xmlns="http://schemas.openxmlformats.org/spreadsheetml/2006/main" count="446" uniqueCount="136">
  <si>
    <t xml:space="preserve">ポスポス 導入店の聞き取りシート</t>
  </si>
  <si>
    <r>
      <rPr>
        <sz val="10"/>
        <color rgb="FF13234A"/>
        <rFont val="WenQuanYi Zen Hei"/>
        <family val="2"/>
      </rPr>
      <t xml:space="preserve">今使っているお店に</t>
    </r>
    <r>
      <rPr>
        <sz val="10"/>
        <color rgb="FF13234A"/>
        <rFont val="Arial"/>
        <family val="0"/>
        <charset val="1"/>
      </rPr>
      <t xml:space="preserve">30</t>
    </r>
    <r>
      <rPr>
        <sz val="10"/>
        <color rgb="FF13234A"/>
        <rFont val="WenQuanYi Zen Hei"/>
        <family val="2"/>
      </rPr>
      <t xml:space="preserve">分で話を聞き、どれだけ楽になったかを数字で残して、紹介をお願いするためのシートです。</t>
    </r>
  </si>
  <si>
    <t xml:space="preserve">使い方</t>
  </si>
  <si>
    <r>
      <rPr>
        <sz val="10"/>
        <color rgb="FF13234A"/>
        <rFont val="Arial"/>
        <family val="0"/>
        <charset val="1"/>
      </rPr>
      <t xml:space="preserve">1. </t>
    </r>
    <r>
      <rPr>
        <sz val="10"/>
        <color rgb="FF13234A"/>
        <rFont val="WenQuanYi Zen Hei"/>
        <family val="2"/>
      </rPr>
      <t xml:space="preserve">お店ごとに「店舗</t>
    </r>
    <r>
      <rPr>
        <sz val="10"/>
        <color rgb="FF13234A"/>
        <rFont val="Arial"/>
        <family val="0"/>
        <charset val="1"/>
      </rPr>
      <t xml:space="preserve">1</t>
    </r>
    <r>
      <rPr>
        <sz val="10"/>
        <color rgb="FF13234A"/>
        <rFont val="WenQuanYi Zen Hei"/>
        <family val="2"/>
      </rPr>
      <t xml:space="preserve">」「店舗</t>
    </r>
    <r>
      <rPr>
        <sz val="10"/>
        <color rgb="FF13234A"/>
        <rFont val="Arial"/>
        <family val="0"/>
        <charset val="1"/>
      </rPr>
      <t xml:space="preserve">2</t>
    </r>
    <r>
      <rPr>
        <sz val="10"/>
        <color rgb="FF13234A"/>
        <rFont val="WenQuanYi Zen Hei"/>
        <family val="2"/>
      </rPr>
      <t xml:space="preserve">」「店舗</t>
    </r>
    <r>
      <rPr>
        <sz val="10"/>
        <color rgb="FF13234A"/>
        <rFont val="Arial"/>
        <family val="0"/>
        <charset val="1"/>
      </rPr>
      <t xml:space="preserve">3</t>
    </r>
    <r>
      <rPr>
        <sz val="10"/>
        <color rgb="FF13234A"/>
        <rFont val="WenQuanYi Zen Hei"/>
        <family val="2"/>
      </rPr>
      <t xml:space="preserve">」のシートを使います（足りなければシートを複製して、名前を「店舗</t>
    </r>
    <r>
      <rPr>
        <sz val="10"/>
        <color rgb="FF13234A"/>
        <rFont val="Arial"/>
        <family val="0"/>
        <charset val="1"/>
      </rPr>
      <t xml:space="preserve">4</t>
    </r>
    <r>
      <rPr>
        <sz val="10"/>
        <color rgb="FF13234A"/>
        <rFont val="WenQuanYi Zen Hei"/>
        <family val="2"/>
      </rPr>
      <t xml:space="preserve">」などにします）。</t>
    </r>
  </si>
  <si>
    <r>
      <rPr>
        <sz val="10"/>
        <color rgb="FF13234A"/>
        <rFont val="Arial"/>
        <family val="0"/>
        <charset val="1"/>
      </rPr>
      <t xml:space="preserve">2. </t>
    </r>
    <r>
      <rPr>
        <sz val="10"/>
        <color rgb="FF13234A"/>
        <rFont val="WenQuanYi Zen Hei"/>
        <family val="2"/>
      </rPr>
      <t xml:space="preserve">黄色のセルに書き込みます。灰色のセル（減った量・減った割合・紹介をお願いするかの判定）は自動で計算します。</t>
    </r>
  </si>
  <si>
    <r>
      <rPr>
        <sz val="10"/>
        <color rgb="FF13234A"/>
        <rFont val="Arial"/>
        <family val="0"/>
        <charset val="1"/>
      </rPr>
      <t xml:space="preserve">3. </t>
    </r>
    <r>
      <rPr>
        <sz val="10"/>
        <color rgb="FF13234A"/>
        <rFont val="WenQuanYi Zen Hei"/>
        <family val="2"/>
      </rPr>
      <t xml:space="preserve">「記入例」のシートに、書き方の見本があります（架空のお店です）。</t>
    </r>
  </si>
  <si>
    <r>
      <rPr>
        <sz val="10"/>
        <color rgb="FF13234A"/>
        <rFont val="Arial"/>
        <family val="0"/>
        <charset val="1"/>
      </rPr>
      <t xml:space="preserve">4. </t>
    </r>
    <r>
      <rPr>
        <sz val="10"/>
        <color rgb="FF13234A"/>
        <rFont val="WenQuanYi Zen Hei"/>
        <family val="2"/>
      </rPr>
      <t xml:space="preserve">「一覧」のシートに、店舗</t>
    </r>
    <r>
      <rPr>
        <sz val="10"/>
        <color rgb="FF13234A"/>
        <rFont val="Arial"/>
        <family val="0"/>
        <charset val="1"/>
      </rPr>
      <t xml:space="preserve">1</t>
    </r>
    <r>
      <rPr>
        <sz val="10"/>
        <color rgb="FF13234A"/>
        <rFont val="WenQuanYi Zen Hei"/>
        <family val="2"/>
      </rPr>
      <t xml:space="preserve">〜</t>
    </r>
    <r>
      <rPr>
        <sz val="10"/>
        <color rgb="FF13234A"/>
        <rFont val="Arial"/>
        <family val="0"/>
        <charset val="1"/>
      </rPr>
      <t xml:space="preserve">3</t>
    </r>
    <r>
      <rPr>
        <sz val="10"/>
        <color rgb="FF13234A"/>
        <rFont val="WenQuanYi Zen Hei"/>
        <family val="2"/>
      </rPr>
      <t xml:space="preserve">の大事な数字が自動でまとまります。</t>
    </r>
  </si>
  <si>
    <t xml:space="preserve">気をつけること</t>
  </si>
  <si>
    <t xml:space="preserve">・数字は実際に測ったものだけを書きます。わからないところは空けておき、来月測ってもらいます。広告やメールに使うのは、測った数字だけです。</t>
  </si>
  <si>
    <t xml:space="preserve">・導入事例に使うときは、必ず先にお店に文を見せて確認してもらいます。</t>
  </si>
  <si>
    <r>
      <rPr>
        <sz val="10"/>
        <color rgb="FF13234A"/>
        <rFont val="WenQuanYi Zen Hei"/>
        <family val="2"/>
      </rPr>
      <t xml:space="preserve">・すすめたい度合いが</t>
    </r>
    <r>
      <rPr>
        <sz val="10"/>
        <color rgb="FF13234A"/>
        <rFont val="Arial"/>
        <family val="0"/>
        <charset val="1"/>
      </rPr>
      <t xml:space="preserve">6</t>
    </r>
    <r>
      <rPr>
        <sz val="10"/>
        <color rgb="FF13234A"/>
        <rFont val="WenQuanYi Zen Hei"/>
        <family val="2"/>
      </rPr>
      <t xml:space="preserve">点以下のお店には、紹介はお願いせず、困っていることを先に直します。</t>
    </r>
  </si>
  <si>
    <r>
      <rPr>
        <b val="true"/>
        <sz val="12"/>
        <color rgb="FF13234A"/>
        <rFont val="WenQuanYi Zen Hei"/>
        <family val="2"/>
      </rPr>
      <t xml:space="preserve">一覧（店舗</t>
    </r>
    <r>
      <rPr>
        <b val="true"/>
        <sz val="12"/>
        <color rgb="FF13234A"/>
        <rFont val="Arial"/>
        <family val="0"/>
        <charset val="1"/>
      </rPr>
      <t xml:space="preserve">1</t>
    </r>
    <r>
      <rPr>
        <b val="true"/>
        <sz val="12"/>
        <color rgb="FF13234A"/>
        <rFont val="WenQuanYi Zen Hei"/>
        <family val="2"/>
      </rPr>
      <t xml:space="preserve">〜</t>
    </r>
    <r>
      <rPr>
        <b val="true"/>
        <sz val="12"/>
        <color rgb="FF13234A"/>
        <rFont val="Arial"/>
        <family val="0"/>
        <charset val="1"/>
      </rPr>
      <t xml:space="preserve">3</t>
    </r>
    <r>
      <rPr>
        <b val="true"/>
        <sz val="12"/>
        <color rgb="FF13234A"/>
        <rFont val="WenQuanYi Zen Hei"/>
        <family val="2"/>
      </rPr>
      <t xml:space="preserve">から自動でまとまります。ここには書き込みません）</t>
    </r>
  </si>
  <si>
    <t xml:space="preserve">店舗</t>
  </si>
  <si>
    <t xml:space="preserve">お店の名前</t>
  </si>
  <si>
    <t xml:space="preserve">種類</t>
  </si>
  <si>
    <t xml:space="preserve">聞いた日</t>
  </si>
  <si>
    <t xml:space="preserve">プラン</t>
  </si>
  <si>
    <t xml:space="preserve">閉店後の締め（売上の集計・レジ締め）（分／日）導入前</t>
  </si>
  <si>
    <t xml:space="preserve">今</t>
  </si>
  <si>
    <t xml:space="preserve">減った割合</t>
  </si>
  <si>
    <t xml:space="preserve">給料の計算（バック・時給・手当を含む）（時間／月）導入前</t>
  </si>
  <si>
    <t xml:space="preserve">シフトを集めて決める時間（時間／月）導入前</t>
  </si>
  <si>
    <t xml:space="preserve">給料・バックの問い合わせ（回／月）導入前</t>
  </si>
  <si>
    <t xml:space="preserve">計算のまちがい・やり直し（回／月）導入前</t>
  </si>
  <si>
    <t xml:space="preserve">面接にかけた時間（分／人）導入前</t>
  </si>
  <si>
    <t xml:space="preserve">面接のドタキャン・来ない（人／月）導入前</t>
  </si>
  <si>
    <t xml:space="preserve">合わなかった体入（夜のお店）（人／月）導入前</t>
  </si>
  <si>
    <t xml:space="preserve">合わなかった体入にかかった体入費（夜のお店）（円／月）導入前</t>
  </si>
  <si>
    <r>
      <rPr>
        <b val="true"/>
        <sz val="9"/>
        <color rgb="FFFFFFFF"/>
        <rFont val="Arial"/>
        <family val="0"/>
        <charset val="1"/>
      </rPr>
      <t xml:space="preserve">AI</t>
    </r>
    <r>
      <rPr>
        <b val="true"/>
        <sz val="9"/>
        <color rgb="FFFFFFFF"/>
        <rFont val="WenQuanYi Zen Hei"/>
        <family val="2"/>
      </rPr>
      <t xml:space="preserve">面接を使った回数（回／月）</t>
    </r>
  </si>
  <si>
    <t xml:space="preserve">会った人</t>
  </si>
  <si>
    <t xml:space="preserve">採用した人</t>
  </si>
  <si>
    <r>
      <rPr>
        <b val="true"/>
        <sz val="9"/>
        <color rgb="FFFFFFFF"/>
        <rFont val="WenQuanYi Zen Hei"/>
        <family val="2"/>
      </rPr>
      <t xml:space="preserve">すすめたい度合い（</t>
    </r>
    <r>
      <rPr>
        <b val="true"/>
        <sz val="9"/>
        <color rgb="FFFFFFFF"/>
        <rFont val="Arial"/>
        <family val="0"/>
        <charset val="1"/>
      </rPr>
      <t xml:space="preserve">0</t>
    </r>
    <r>
      <rPr>
        <b val="true"/>
        <sz val="9"/>
        <color rgb="FFFFFFFF"/>
        <rFont val="WenQuanYi Zen Hei"/>
        <family val="2"/>
      </rPr>
      <t xml:space="preserve">〜</t>
    </r>
    <r>
      <rPr>
        <b val="true"/>
        <sz val="9"/>
        <color rgb="FFFFFFFF"/>
        <rFont val="Arial"/>
        <family val="0"/>
        <charset val="1"/>
      </rPr>
      <t xml:space="preserve">10</t>
    </r>
    <r>
      <rPr>
        <b val="true"/>
        <sz val="9"/>
        <color rgb="FFFFFFFF"/>
        <rFont val="WenQuanYi Zen Hei"/>
        <family val="2"/>
      </rPr>
      <t xml:space="preserve">）</t>
    </r>
  </si>
  <si>
    <t xml:space="preserve">なくなったら</t>
  </si>
  <si>
    <t xml:space="preserve">導入事例</t>
  </si>
  <si>
    <t xml:space="preserve">紹介先の数</t>
  </si>
  <si>
    <t xml:space="preserve">見出しの一文</t>
  </si>
  <si>
    <t xml:space="preserve">黄色のセルに書き込みます。灰色のセルは自動で計算します。数字は実際に測ったものだけを書き、わからないところは空けておきます（広告に使うのは測った数字だけ）。</t>
  </si>
  <si>
    <r>
      <rPr>
        <b val="true"/>
        <sz val="11"/>
        <color rgb="FFFFFFFF"/>
        <rFont val="Arial"/>
        <family val="0"/>
        <charset val="1"/>
      </rPr>
      <t xml:space="preserve">1. </t>
    </r>
    <r>
      <rPr>
        <b val="true"/>
        <sz val="11"/>
        <color rgb="FFFFFFFF"/>
        <rFont val="WenQuanYi Zen Hei"/>
        <family val="2"/>
      </rPr>
      <t xml:space="preserve">お店の情報</t>
    </r>
  </si>
  <si>
    <t xml:space="preserve">お店の種類</t>
  </si>
  <si>
    <t xml:space="preserve">話を聞いた人（役職）</t>
  </si>
  <si>
    <t xml:space="preserve">使い始めた日</t>
  </si>
  <si>
    <t xml:space="preserve">店舗数</t>
  </si>
  <si>
    <t xml:space="preserve">スタッフ・キャストの人数</t>
  </si>
  <si>
    <t xml:space="preserve">前に使っていたレジ・管理の方法</t>
  </si>
  <si>
    <r>
      <rPr>
        <b val="true"/>
        <sz val="11"/>
        <color rgb="FFFFFFFF"/>
        <rFont val="Arial"/>
        <family val="0"/>
        <charset val="1"/>
      </rPr>
      <t xml:space="preserve">2. </t>
    </r>
    <r>
      <rPr>
        <b val="true"/>
        <sz val="11"/>
        <color rgb="FFFFFFFF"/>
        <rFont val="WenQuanYi Zen Hei"/>
        <family val="2"/>
      </rPr>
      <t xml:space="preserve">導入する前の困りごとと、選んだ理由（お店の人の言葉のまま）</t>
    </r>
  </si>
  <si>
    <t xml:space="preserve">ポスポスを入れる前、いちばん面倒だった仕事は？</t>
  </si>
  <si>
    <t xml:space="preserve">それに毎日・毎月どれくらい時間がかかっていた？</t>
  </si>
  <si>
    <t xml:space="preserve">計算ミスや、スタッフ・キャストとのもめごとはあった？</t>
  </si>
  <si>
    <t xml:space="preserve">採用（面接・日程調整・体入）で困っていたことは？</t>
  </si>
  <si>
    <t xml:space="preserve">なぜポスポスを使ってみようと思った？</t>
  </si>
  <si>
    <t xml:space="preserve">ほかに比べたレジ・サービスは？選ばなかった理由は？</t>
  </si>
  <si>
    <r>
      <rPr>
        <b val="true"/>
        <sz val="11"/>
        <color rgb="FFFFFFFF"/>
        <rFont val="Arial"/>
        <family val="0"/>
        <charset val="1"/>
      </rPr>
      <t xml:space="preserve">3. </t>
    </r>
    <r>
      <rPr>
        <b val="true"/>
        <sz val="11"/>
        <color rgb="FFFFFFFF"/>
        <rFont val="WenQuanYi Zen Hei"/>
        <family val="2"/>
      </rPr>
      <t xml:space="preserve">数字で測ること</t>
    </r>
  </si>
  <si>
    <t xml:space="preserve">測ること</t>
  </si>
  <si>
    <t xml:space="preserve">単位</t>
  </si>
  <si>
    <t xml:space="preserve">導入前</t>
  </si>
  <si>
    <t xml:space="preserve">減った量</t>
  </si>
  <si>
    <t xml:space="preserve">どうやって測ったか</t>
  </si>
  <si>
    <t xml:space="preserve">閉店後の締め（売上の集計・レジ締め）</t>
  </si>
  <si>
    <t xml:space="preserve">分／日</t>
  </si>
  <si>
    <t xml:space="preserve">給料の計算（バック・時給・手当を含む）</t>
  </si>
  <si>
    <t xml:space="preserve">時間／月</t>
  </si>
  <si>
    <t xml:space="preserve">シフトを集めて決める時間</t>
  </si>
  <si>
    <t xml:space="preserve">給料・バックの問い合わせ</t>
  </si>
  <si>
    <t xml:space="preserve">回／月</t>
  </si>
  <si>
    <t xml:space="preserve">計算のまちがい・やり直し</t>
  </si>
  <si>
    <t xml:space="preserve">面接にかけた時間</t>
  </si>
  <si>
    <t xml:space="preserve">分／人</t>
  </si>
  <si>
    <t xml:space="preserve">面接のドタキャン・来ない</t>
  </si>
  <si>
    <t xml:space="preserve">人／月</t>
  </si>
  <si>
    <t xml:space="preserve">合わなかった体入（夜のお店）</t>
  </si>
  <si>
    <t xml:space="preserve">合わなかった体入にかかった体入費（夜のお店）</t>
  </si>
  <si>
    <t xml:space="preserve">円／月</t>
  </si>
  <si>
    <r>
      <rPr>
        <sz val="10"/>
        <color rgb="FF13234A"/>
        <rFont val="Arial"/>
        <family val="0"/>
        <charset val="1"/>
      </rPr>
      <t xml:space="preserve">AI</t>
    </r>
    <r>
      <rPr>
        <sz val="10"/>
        <color rgb="FF13234A"/>
        <rFont val="WenQuanYi Zen Hei"/>
        <family val="2"/>
      </rPr>
      <t xml:space="preserve">面接を使った回数</t>
    </r>
  </si>
  <si>
    <t xml:space="preserve">―</t>
  </si>
  <si>
    <r>
      <rPr>
        <sz val="10"/>
        <color rgb="FF13234A"/>
        <rFont val="Arial"/>
        <family val="0"/>
        <charset val="1"/>
      </rPr>
      <t xml:space="preserve">AI</t>
    </r>
    <r>
      <rPr>
        <sz val="10"/>
        <color rgb="FF13234A"/>
        <rFont val="WenQuanYi Zen Hei"/>
        <family val="2"/>
      </rPr>
      <t xml:space="preserve">面接のあと会った人</t>
    </r>
  </si>
  <si>
    <r>
      <rPr>
        <sz val="10"/>
        <color rgb="FF13234A"/>
        <rFont val="Arial"/>
        <family val="0"/>
        <charset val="1"/>
      </rPr>
      <t xml:space="preserve">AI</t>
    </r>
    <r>
      <rPr>
        <sz val="10"/>
        <color rgb="FF13234A"/>
        <rFont val="WenQuanYi Zen Hei"/>
        <family val="2"/>
      </rPr>
      <t xml:space="preserve">面接のあと採用した人</t>
    </r>
  </si>
  <si>
    <t xml:space="preserve">導入事例の見出しになる一文
「◯◯が、◯◯から◯◯になった」</t>
  </si>
  <si>
    <r>
      <rPr>
        <b val="true"/>
        <sz val="11"/>
        <color rgb="FFFFFFFF"/>
        <rFont val="Arial"/>
        <family val="0"/>
        <charset val="1"/>
      </rPr>
      <t xml:space="preserve">4. </t>
    </r>
    <r>
      <rPr>
        <b val="true"/>
        <sz val="11"/>
        <color rgb="FFFFFFFF"/>
        <rFont val="WenQuanYi Zen Hei"/>
        <family val="2"/>
      </rPr>
      <t xml:space="preserve">使っている機能と、不満・要望</t>
    </r>
  </si>
  <si>
    <t xml:space="preserve">機能</t>
  </si>
  <si>
    <t xml:space="preserve">使い方（選ぶ）</t>
  </si>
  <si>
    <t xml:space="preserve">使っていない理由</t>
  </si>
  <si>
    <t xml:space="preserve">注文・会計・伝票</t>
  </si>
  <si>
    <t xml:space="preserve">セット料金・延長・指名・付け回し（夜）</t>
  </si>
  <si>
    <r>
      <rPr>
        <sz val="10"/>
        <color rgb="FF13234A"/>
        <rFont val="Arial"/>
        <family val="0"/>
        <charset val="1"/>
      </rPr>
      <t xml:space="preserve">QR</t>
    </r>
    <r>
      <rPr>
        <sz val="10"/>
        <color rgb="FF13234A"/>
        <rFont val="WenQuanYi Zen Hei"/>
        <family val="2"/>
      </rPr>
      <t xml:space="preserve">注文・厨房の画面（昼）</t>
    </r>
  </si>
  <si>
    <t xml:space="preserve">打刻・シフト</t>
  </si>
  <si>
    <t xml:space="preserve">給料・バックの計算</t>
  </si>
  <si>
    <t xml:space="preserve">スタッフ・キャストのスマホ画面</t>
  </si>
  <si>
    <t xml:space="preserve">顧客・ボトル・売掛・ポイント</t>
  </si>
  <si>
    <t xml:space="preserve">お金・日報・利益</t>
  </si>
  <si>
    <r>
      <rPr>
        <sz val="10"/>
        <color rgb="FF13234A"/>
        <rFont val="Arial"/>
        <family val="0"/>
        <charset val="1"/>
      </rPr>
      <t xml:space="preserve">AI</t>
    </r>
    <r>
      <rPr>
        <sz val="10"/>
        <color rgb="FF13234A"/>
        <rFont val="WenQuanYi Zen Hei"/>
        <family val="2"/>
      </rPr>
      <t xml:space="preserve">面接</t>
    </r>
  </si>
  <si>
    <t xml:space="preserve">いちばん助かっている機能は？それはなぜ？</t>
  </si>
  <si>
    <t xml:space="preserve">使いにくいところ・わかりにくいところは？</t>
  </si>
  <si>
    <t xml:space="preserve">「これがあったらもっと楽」という機能は？</t>
  </si>
  <si>
    <t xml:space="preserve">スタッフ・キャストからの声（よい・わるい）は？</t>
  </si>
  <si>
    <t xml:space="preserve">困ったときの問い合わせ・サポートはどうだった？</t>
  </si>
  <si>
    <r>
      <rPr>
        <b val="true"/>
        <sz val="11"/>
        <color rgb="FFFFFFFF"/>
        <rFont val="Arial"/>
        <family val="0"/>
        <charset val="1"/>
      </rPr>
      <t xml:space="preserve">5. </t>
    </r>
    <r>
      <rPr>
        <b val="true"/>
        <sz val="11"/>
        <color rgb="FFFFFFFF"/>
        <rFont val="WenQuanYi Zen Hei"/>
        <family val="2"/>
      </rPr>
      <t xml:space="preserve">続ける気持ち・紹介・導入事例</t>
    </r>
  </si>
  <si>
    <r>
      <rPr>
        <sz val="10"/>
        <color rgb="FF13234A"/>
        <rFont val="WenQuanYi Zen Hei"/>
        <family val="2"/>
      </rPr>
      <t xml:space="preserve">知り合いのお店にすすめたい度合い（</t>
    </r>
    <r>
      <rPr>
        <sz val="10"/>
        <color rgb="FF13234A"/>
        <rFont val="Arial"/>
        <family val="0"/>
        <charset val="1"/>
      </rPr>
      <t xml:space="preserve">0</t>
    </r>
    <r>
      <rPr>
        <sz val="10"/>
        <color rgb="FF13234A"/>
        <rFont val="WenQuanYi Zen Hei"/>
        <family val="2"/>
      </rPr>
      <t xml:space="preserve">〜</t>
    </r>
    <r>
      <rPr>
        <sz val="10"/>
        <color rgb="FF13234A"/>
        <rFont val="Arial"/>
        <family val="0"/>
        <charset val="1"/>
      </rPr>
      <t xml:space="preserve">10</t>
    </r>
    <r>
      <rPr>
        <sz val="10"/>
        <color rgb="FF13234A"/>
        <rFont val="WenQuanYi Zen Hei"/>
        <family val="2"/>
      </rPr>
      <t xml:space="preserve">点）</t>
    </r>
  </si>
  <si>
    <t xml:space="preserve">その点数にした理由</t>
  </si>
  <si>
    <t xml:space="preserve">もしポスポスがなくなったら</t>
  </si>
  <si>
    <t xml:space="preserve">紹介のお願い（そのまま話す文）：いつも使っていただいて、ありがとうございます。今、同じようなお店にもポスポスを広げようとしています。給料やバックの計算、面接で困っていそうなオーナーさんがいたら、一度ご紹介いただけませんか。いきなり営業はせず、まず今のやり方を聞いて、役に立ちそうかだけお話しします。</t>
  </si>
  <si>
    <t xml:space="preserve">紹介してもらえそうなお店</t>
  </si>
  <si>
    <t xml:space="preserve">種類・場所</t>
  </si>
  <si>
    <t xml:space="preserve">連絡のつなぎ方</t>
  </si>
  <si>
    <t xml:space="preserve">連絡した日</t>
  </si>
  <si>
    <t xml:space="preserve">導入事例に使ってよいか（使う前に、必ず文を見せて確認）</t>
  </si>
  <si>
    <t xml:space="preserve">次にやること</t>
  </si>
  <si>
    <t xml:space="preserve">聞いた内容をもとに、導入事例の文を作ってお店に確認してもらう</t>
  </si>
  <si>
    <t xml:space="preserve">まだ</t>
  </si>
  <si>
    <t xml:space="preserve">紹介してもらえたお店に連絡する</t>
  </si>
  <si>
    <t xml:space="preserve">「これがあったらもっと楽」の要望を、アプリの直すことの一覧に入れる</t>
  </si>
  <si>
    <t xml:space="preserve">測れなかった数字は、来月もう一度聞く</t>
  </si>
  <si>
    <r>
      <rPr>
        <sz val="10"/>
        <color rgb="FF13234A"/>
        <rFont val="WenQuanYi Zen Hei"/>
        <family val="2"/>
      </rPr>
      <t xml:space="preserve">（記入例）夜のお店</t>
    </r>
    <r>
      <rPr>
        <sz val="10"/>
        <color rgb="FF13234A"/>
        <rFont val="Arial"/>
        <family val="0"/>
        <charset val="1"/>
      </rPr>
      <t xml:space="preserve">A</t>
    </r>
  </si>
  <si>
    <t xml:space="preserve">キャバクラ</t>
  </si>
  <si>
    <t xml:space="preserve">オーナー</t>
  </si>
  <si>
    <t xml:space="preserve">スタンダード</t>
  </si>
  <si>
    <r>
      <rPr>
        <sz val="10"/>
        <color rgb="FF13234A"/>
        <rFont val="Arial"/>
        <family val="0"/>
        <charset val="1"/>
      </rPr>
      <t xml:space="preserve">1</t>
    </r>
    <r>
      <rPr>
        <sz val="10"/>
        <color rgb="FF13234A"/>
        <rFont val="WenQuanYi Zen Hei"/>
        <family val="2"/>
      </rPr>
      <t xml:space="preserve">店舗</t>
    </r>
  </si>
  <si>
    <r>
      <rPr>
        <sz val="10"/>
        <color rgb="FF13234A"/>
        <rFont val="WenQuanYi Zen Hei"/>
        <family val="2"/>
      </rPr>
      <t xml:space="preserve">キャスト</t>
    </r>
    <r>
      <rPr>
        <sz val="10"/>
        <color rgb="FF13234A"/>
        <rFont val="Arial"/>
        <family val="0"/>
        <charset val="1"/>
      </rPr>
      <t xml:space="preserve">12</t>
    </r>
    <r>
      <rPr>
        <sz val="10"/>
        <color rgb="FF13234A"/>
        <rFont val="WenQuanYi Zen Hei"/>
        <family val="2"/>
      </rPr>
      <t xml:space="preserve">人・黒服</t>
    </r>
    <r>
      <rPr>
        <sz val="10"/>
        <color rgb="FF13234A"/>
        <rFont val="Arial"/>
        <family val="0"/>
        <charset val="1"/>
      </rPr>
      <t xml:space="preserve">3</t>
    </r>
    <r>
      <rPr>
        <sz val="10"/>
        <color rgb="FF13234A"/>
        <rFont val="WenQuanYi Zen Hei"/>
        <family val="2"/>
      </rPr>
      <t xml:space="preserve">人</t>
    </r>
  </si>
  <si>
    <r>
      <rPr>
        <sz val="10"/>
        <color rgb="FF13234A"/>
        <rFont val="WenQuanYi Zen Hei"/>
        <family val="2"/>
      </rPr>
      <t xml:space="preserve">紙の伝票＋</t>
    </r>
    <r>
      <rPr>
        <sz val="10"/>
        <color rgb="FF13234A"/>
        <rFont val="Arial"/>
        <family val="0"/>
        <charset val="1"/>
      </rPr>
      <t xml:space="preserve">Excel</t>
    </r>
  </si>
  <si>
    <t xml:space="preserve">閉店後、伝票を見ながらキャストごとのバックを電卓で計算するのがいちばん面倒だった</t>
  </si>
  <si>
    <r>
      <rPr>
        <sz val="10"/>
        <color rgb="FF13234A"/>
        <rFont val="WenQuanYi Zen Hei"/>
        <family val="2"/>
      </rPr>
      <t xml:space="preserve">毎日の締めに</t>
    </r>
    <r>
      <rPr>
        <sz val="10"/>
        <color rgb="FF13234A"/>
        <rFont val="Arial"/>
        <family val="0"/>
        <charset val="1"/>
      </rPr>
      <t xml:space="preserve">40</t>
    </r>
    <r>
      <rPr>
        <sz val="10"/>
        <color rgb="FF13234A"/>
        <rFont val="WenQuanYi Zen Hei"/>
        <family val="2"/>
      </rPr>
      <t xml:space="preserve">分、月末の給料計算に</t>
    </r>
    <r>
      <rPr>
        <sz val="10"/>
        <color rgb="FF13234A"/>
        <rFont val="Arial"/>
        <family val="0"/>
        <charset val="1"/>
      </rPr>
      <t xml:space="preserve">10</t>
    </r>
    <r>
      <rPr>
        <sz val="10"/>
        <color rgb="FF13234A"/>
        <rFont val="WenQuanYi Zen Hei"/>
        <family val="2"/>
      </rPr>
      <t xml:space="preserve">時間くらい</t>
    </r>
  </si>
  <si>
    <t xml:space="preserve">知り合いに紹介されて、バックの計算が自動になると聞いたから</t>
  </si>
  <si>
    <r>
      <rPr>
        <sz val="10"/>
        <color rgb="FF13234A"/>
        <rFont val="WenQuanYi Zen Hei"/>
        <family val="2"/>
      </rPr>
      <t xml:space="preserve">オーナーに直近</t>
    </r>
    <r>
      <rPr>
        <sz val="10"/>
        <color rgb="FF13234A"/>
        <rFont val="Arial"/>
        <family val="0"/>
        <charset val="1"/>
      </rPr>
      <t xml:space="preserve">1</t>
    </r>
    <r>
      <rPr>
        <sz val="10"/>
        <color rgb="FF13234A"/>
        <rFont val="WenQuanYi Zen Hei"/>
        <family val="2"/>
      </rPr>
      <t xml:space="preserve">週間の平均を聞いた</t>
    </r>
  </si>
  <si>
    <t xml:space="preserve">先月の給料計算にかかった時間</t>
  </si>
  <si>
    <r>
      <rPr>
        <sz val="10"/>
        <color rgb="FF13234A"/>
        <rFont val="WenQuanYi Zen Hei"/>
        <family val="2"/>
      </rPr>
      <t xml:space="preserve">管理画面の</t>
    </r>
    <r>
      <rPr>
        <sz val="10"/>
        <color rgb="FF13234A"/>
        <rFont val="Arial"/>
        <family val="0"/>
        <charset val="1"/>
      </rPr>
      <t xml:space="preserve">AI</t>
    </r>
    <r>
      <rPr>
        <sz val="10"/>
        <color rgb="FF13234A"/>
        <rFont val="WenQuanYi Zen Hei"/>
        <family val="2"/>
      </rPr>
      <t xml:space="preserve">面接の一覧で数えた</t>
    </r>
  </si>
  <si>
    <r>
      <rPr>
        <sz val="10"/>
        <color rgb="FF13234A"/>
        <rFont val="WenQuanYi Zen Hei"/>
        <family val="2"/>
      </rPr>
      <t xml:space="preserve">キャストの給料計算が、月</t>
    </r>
    <r>
      <rPr>
        <sz val="10"/>
        <color rgb="FF13234A"/>
        <rFont val="Arial"/>
        <family val="0"/>
        <charset val="1"/>
      </rPr>
      <t xml:space="preserve">10</t>
    </r>
    <r>
      <rPr>
        <sz val="10"/>
        <color rgb="FF13234A"/>
        <rFont val="WenQuanYi Zen Hei"/>
        <family val="2"/>
      </rPr>
      <t xml:space="preserve">時間から</t>
    </r>
    <r>
      <rPr>
        <sz val="10"/>
        <color rgb="FF13234A"/>
        <rFont val="Arial"/>
        <family val="0"/>
        <charset val="1"/>
      </rPr>
      <t xml:space="preserve">2</t>
    </r>
    <r>
      <rPr>
        <sz val="10"/>
        <color rgb="FF13234A"/>
        <rFont val="WenQuanYi Zen Hei"/>
        <family val="2"/>
      </rPr>
      <t xml:space="preserve">時間になった（記入例）</t>
    </r>
  </si>
  <si>
    <t xml:space="preserve">毎日使う</t>
  </si>
  <si>
    <t xml:space="preserve">使っていない</t>
  </si>
  <si>
    <t xml:space="preserve">まだ設定していない（使い方を知らなかった）</t>
  </si>
  <si>
    <t xml:space="preserve">ときどき</t>
  </si>
  <si>
    <t xml:space="preserve">キャストごとの月の成績を、印刷して貼り出したい</t>
  </si>
  <si>
    <t xml:space="preserve">計算でもめることがなくなったから</t>
  </si>
  <si>
    <t xml:space="preserve">とても困る</t>
  </si>
  <si>
    <t xml:space="preserve">（記入例）系列のガールズバー</t>
  </si>
  <si>
    <t xml:space="preserve">ガールズバー・同じ駅</t>
  </si>
  <si>
    <t xml:space="preserve">オーナーから先に話してもらう</t>
  </si>
  <si>
    <t xml:space="preserve">店名は出さずに</t>
  </si>
</sst>
</file>

<file path=xl/styles.xml><?xml version="1.0" encoding="utf-8"?>
<styleSheet xmlns="http://schemas.openxmlformats.org/spreadsheetml/2006/main">
  <numFmts count="6">
    <numFmt numFmtId="164" formatCode="General"/>
    <numFmt numFmtId="165" formatCode="yyyy/mm/dd"/>
    <numFmt numFmtId="166" formatCode="0%"/>
    <numFmt numFmtId="167" formatCode="#,##0"/>
    <numFmt numFmtId="168" formatCode="#,##0.0"/>
    <numFmt numFmtId="169" formatCode="0"/>
  </numFmts>
  <fonts count="19">
    <font>
      <sz val="11"/>
      <color theme="1"/>
      <name val="Calibri"/>
      <family val="2"/>
      <charset val="1"/>
    </font>
    <font>
      <sz val="10"/>
      <name val="Arial"/>
      <family val="0"/>
    </font>
    <font>
      <sz val="10"/>
      <name val="Arial"/>
      <family val="0"/>
    </font>
    <font>
      <sz val="10"/>
      <name val="Arial"/>
      <family val="0"/>
    </font>
    <font>
      <b val="true"/>
      <sz val="14"/>
      <color rgb="FF13234A"/>
      <name val="WenQuanYi Zen Hei"/>
      <family val="2"/>
    </font>
    <font>
      <sz val="10"/>
      <color rgb="FF13234A"/>
      <name val="WenQuanYi Zen Hei"/>
      <family val="2"/>
    </font>
    <font>
      <sz val="10"/>
      <color rgb="FF13234A"/>
      <name val="Arial"/>
      <family val="0"/>
      <charset val="1"/>
    </font>
    <font>
      <b val="true"/>
      <sz val="11"/>
      <color rgb="FF13234A"/>
      <name val="WenQuanYi Zen Hei"/>
      <family val="2"/>
    </font>
    <font>
      <b val="true"/>
      <sz val="12"/>
      <color rgb="FF13234A"/>
      <name val="WenQuanYi Zen Hei"/>
      <family val="2"/>
    </font>
    <font>
      <b val="true"/>
      <sz val="12"/>
      <color rgb="FF13234A"/>
      <name val="Arial"/>
      <family val="0"/>
      <charset val="1"/>
    </font>
    <font>
      <b val="true"/>
      <sz val="9"/>
      <color rgb="FFFFFFFF"/>
      <name val="WenQuanYi Zen Hei"/>
      <family val="2"/>
    </font>
    <font>
      <b val="true"/>
      <sz val="9"/>
      <color rgb="FFFFFFFF"/>
      <name val="Arial"/>
      <family val="0"/>
      <charset val="1"/>
    </font>
    <font>
      <sz val="9"/>
      <color rgb="FF13234A"/>
      <name val="WenQuanYi Zen Hei"/>
      <family val="2"/>
    </font>
    <font>
      <sz val="9"/>
      <color rgb="FF13234A"/>
      <name val="Arial"/>
      <family val="0"/>
      <charset val="1"/>
    </font>
    <font>
      <sz val="9"/>
      <color rgb="FF5A6478"/>
      <name val="WenQuanYi Zen Hei"/>
      <family val="2"/>
    </font>
    <font>
      <b val="true"/>
      <sz val="11"/>
      <color rgb="FFFFFFFF"/>
      <name val="Arial"/>
      <family val="0"/>
      <charset val="1"/>
    </font>
    <font>
      <b val="true"/>
      <sz val="11"/>
      <color rgb="FFFFFFFF"/>
      <name val="WenQuanYi Zen Hei"/>
      <family val="2"/>
    </font>
    <font>
      <b val="true"/>
      <sz val="10"/>
      <color rgb="FF13234A"/>
      <name val="WenQuanYi Zen Hei"/>
      <family val="2"/>
    </font>
    <font>
      <b val="true"/>
      <sz val="10"/>
      <color rgb="FF13234A"/>
      <name val="Arial"/>
      <family val="0"/>
      <charset val="1"/>
    </font>
  </fonts>
  <fills count="6">
    <fill>
      <patternFill patternType="none"/>
    </fill>
    <fill>
      <patternFill patternType="gray125"/>
    </fill>
    <fill>
      <patternFill patternType="solid">
        <fgColor rgb="FF1557D6"/>
        <bgColor rgb="FF3366FF"/>
      </patternFill>
    </fill>
    <fill>
      <patternFill patternType="solid">
        <fgColor rgb="FFF2F2F2"/>
        <bgColor rgb="FFE8EEF9"/>
      </patternFill>
    </fill>
    <fill>
      <patternFill patternType="solid">
        <fgColor rgb="FFE8EEF9"/>
        <bgColor rgb="FFF2F2F2"/>
      </patternFill>
    </fill>
    <fill>
      <patternFill patternType="solid">
        <fgColor rgb="FFFFF6C9"/>
        <bgColor rgb="FFF2F2F2"/>
      </patternFill>
    </fill>
  </fills>
  <borders count="2">
    <border diagonalUp="false" diagonalDown="false">
      <left/>
      <right/>
      <top/>
      <bottom/>
      <diagonal/>
    </border>
    <border diagonalUp="false" diagonalDown="false">
      <left style="thin">
        <color rgb="FFBFC7D5"/>
      </left>
      <right style="thin">
        <color rgb="FFBFC7D5"/>
      </right>
      <top style="thin">
        <color rgb="FFBFC7D5"/>
      </top>
      <bottom style="thin">
        <color rgb="FFBFC7D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10" fillId="2" borderId="1" xfId="0" applyFont="true" applyBorder="true" applyAlignment="true" applyProtection="false">
      <alignment horizontal="general" vertical="center" textRotation="0" wrapText="true" indent="0" shrinkToFit="false"/>
      <protection locked="true" hidden="false"/>
    </xf>
    <xf numFmtId="164" fontId="11" fillId="2" borderId="1" xfId="0" applyFont="true" applyBorder="true" applyAlignment="true" applyProtection="false">
      <alignment horizontal="general" vertical="center" textRotation="0" wrapText="true" indent="0" shrinkToFit="false"/>
      <protection locked="true" hidden="false"/>
    </xf>
    <xf numFmtId="164" fontId="12" fillId="3" borderId="1" xfId="0" applyFont="true" applyBorder="true" applyAlignment="true" applyProtection="false">
      <alignment horizontal="general" vertical="center" textRotation="0" wrapText="true" indent="0" shrinkToFit="false"/>
      <protection locked="true" hidden="false"/>
    </xf>
    <xf numFmtId="165" fontId="13" fillId="3" borderId="1" xfId="0" applyFont="true" applyBorder="true" applyAlignment="true" applyProtection="false">
      <alignment horizontal="general" vertical="center" textRotation="0" wrapText="true" indent="0" shrinkToFit="false"/>
      <protection locked="true" hidden="false"/>
    </xf>
    <xf numFmtId="166" fontId="13" fillId="3" borderId="1" xfId="0" applyFont="true" applyBorder="true" applyAlignment="true" applyProtection="false">
      <alignment horizontal="general" vertical="center" textRotation="0" wrapText="true" indent="0" shrinkToFit="false"/>
      <protection locked="true" hidden="false"/>
    </xf>
    <xf numFmtId="164" fontId="4" fillId="0" borderId="1" xfId="0" applyFont="true" applyBorder="true" applyAlignment="true" applyProtection="false">
      <alignment horizontal="general" vertical="center" textRotation="0" wrapText="false" indent="0" shrinkToFit="false"/>
      <protection locked="true" hidden="false"/>
    </xf>
    <xf numFmtId="164" fontId="14" fillId="0" borderId="1" xfId="0" applyFont="true" applyBorder="true" applyAlignment="true" applyProtection="false">
      <alignment horizontal="general" vertical="center" textRotation="0" wrapText="true" indent="0" shrinkToFit="false"/>
      <protection locked="true" hidden="false"/>
    </xf>
    <xf numFmtId="164" fontId="15" fillId="2" borderId="1" xfId="0" applyFont="true" applyBorder="true" applyAlignment="true" applyProtection="false">
      <alignment horizontal="general" vertical="center" textRotation="0" wrapText="true" indent="0" shrinkToFit="false"/>
      <protection locked="true" hidden="false"/>
    </xf>
    <xf numFmtId="164" fontId="5" fillId="4" borderId="1" xfId="0" applyFont="true" applyBorder="true" applyAlignment="true" applyProtection="false">
      <alignment horizontal="general" vertical="center" textRotation="0" wrapText="true" indent="0" shrinkToFit="false"/>
      <protection locked="true" hidden="false"/>
    </xf>
    <xf numFmtId="165" fontId="6" fillId="5" borderId="1" xfId="0" applyFont="true" applyBorder="true" applyAlignment="true" applyProtection="false">
      <alignment horizontal="general" vertical="center" textRotation="0" wrapText="true" indent="0" shrinkToFit="false"/>
      <protection locked="true" hidden="false"/>
    </xf>
    <xf numFmtId="164" fontId="6" fillId="5" borderId="1" xfId="0" applyFont="true" applyBorder="true" applyAlignment="true" applyProtection="false">
      <alignment horizontal="general" vertical="center" textRotation="0" wrapText="true" indent="0" shrinkToFit="false"/>
      <protection locked="true" hidden="false"/>
    </xf>
    <xf numFmtId="164" fontId="17" fillId="4"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7" fontId="6" fillId="5" borderId="1" xfId="0" applyFont="true" applyBorder="true" applyAlignment="true" applyProtection="false">
      <alignment horizontal="general" vertical="center" textRotation="0" wrapText="true" indent="0" shrinkToFit="false"/>
      <protection locked="true" hidden="false"/>
    </xf>
    <xf numFmtId="167" fontId="6" fillId="3" borderId="1" xfId="0" applyFont="true" applyBorder="true" applyAlignment="true" applyProtection="false">
      <alignment horizontal="general" vertical="center" textRotation="0" wrapText="true" indent="0" shrinkToFit="false"/>
      <protection locked="true" hidden="false"/>
    </xf>
    <xf numFmtId="166" fontId="6" fillId="3" borderId="1" xfId="0" applyFont="true" applyBorder="true" applyAlignment="true" applyProtection="false">
      <alignment horizontal="general" vertical="center" textRotation="0" wrapText="true" indent="0" shrinkToFit="false"/>
      <protection locked="true" hidden="false"/>
    </xf>
    <xf numFmtId="168" fontId="6" fillId="5" borderId="1" xfId="0" applyFont="true" applyBorder="true" applyAlignment="true" applyProtection="false">
      <alignment horizontal="general" vertical="center" textRotation="0" wrapText="true" indent="0" shrinkToFit="false"/>
      <protection locked="true" hidden="false"/>
    </xf>
    <xf numFmtId="168" fontId="6" fillId="3"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general" vertical="center" textRotation="0" wrapText="true" indent="0" shrinkToFit="false"/>
      <protection locked="true" hidden="false"/>
    </xf>
    <xf numFmtId="169" fontId="6" fillId="5" borderId="1" xfId="0" applyFont="true" applyBorder="true" applyAlignment="true" applyProtection="false">
      <alignment horizontal="center" vertical="center" textRotation="0" wrapText="false" indent="0" shrinkToFit="false"/>
      <protection locked="true" hidden="false"/>
    </xf>
    <xf numFmtId="164" fontId="18" fillId="3" borderId="1" xfId="0" applyFont="true" applyBorder="true" applyAlignment="true" applyProtection="false">
      <alignment horizontal="general" vertical="center" textRotation="0" wrapText="true" indent="0" shrinkToFit="false"/>
      <protection locked="true" hidden="false"/>
    </xf>
    <xf numFmtId="164" fontId="16" fillId="2" borderId="1" xfId="0" applyFont="true" applyBorder="true" applyAlignment="true" applyProtection="false">
      <alignment horizontal="general" vertical="center" textRotation="0" wrapText="true" indent="0" shrinkToFit="false"/>
      <protection locked="true" hidden="false"/>
    </xf>
    <xf numFmtId="164" fontId="5" fillId="5" borderId="1" xfId="0" applyFont="true" applyBorder="true" applyAlignment="true" applyProtection="false">
      <alignment horizontal="center" vertical="center" textRotation="0" wrapText="false" indent="0" shrinkToFit="false"/>
      <protection locked="true" hidden="false"/>
    </xf>
    <xf numFmtId="164" fontId="5" fillId="5"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7D5"/>
      <rgbColor rgb="FF808080"/>
      <rgbColor rgb="FF9999FF"/>
      <rgbColor rgb="FF993366"/>
      <rgbColor rgb="FFFFF6C9"/>
      <rgbColor rgb="FFE8EEF9"/>
      <rgbColor rgb="FF660066"/>
      <rgbColor rgb="FFFF8080"/>
      <rgbColor rgb="FF1557D6"/>
      <rgbColor rgb="FFCCCCFF"/>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FCC00"/>
      <rgbColor rgb="FFFF9900"/>
      <rgbColor rgb="FFFF6600"/>
      <rgbColor rgb="FF5A6478"/>
      <rgbColor rgb="FF969696"/>
      <rgbColor rgb="FF13234A"/>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9.4"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26.85" hidden="false" customHeight="false" outlineLevel="0" collapsed="false">
      <c r="A5" s="4" t="s">
        <v>3</v>
      </c>
    </row>
    <row r="6" customFormat="false" ht="15" hidden="false" customHeight="false" outlineLevel="0" collapsed="false">
      <c r="A6" s="4" t="s">
        <v>4</v>
      </c>
    </row>
    <row r="7" customFormat="false" ht="15" hidden="false" customHeight="false" outlineLevel="0" collapsed="false">
      <c r="A7" s="4" t="s">
        <v>5</v>
      </c>
    </row>
    <row r="8" customFormat="false" ht="15" hidden="false" customHeight="false" outlineLevel="0" collapsed="false">
      <c r="A8" s="4" t="s">
        <v>6</v>
      </c>
    </row>
    <row r="9" customFormat="false" ht="15" hidden="false" customHeight="false" outlineLevel="0" collapsed="false">
      <c r="A9" s="2"/>
    </row>
    <row r="10" customFormat="false" ht="15" hidden="false" customHeight="false" outlineLevel="0" collapsed="false">
      <c r="A10" s="3" t="s">
        <v>7</v>
      </c>
    </row>
    <row r="11" customFormat="false" ht="26.8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5" min="2" style="0" width="16"/>
    <col collapsed="false" customWidth="true" hidden="false" outlineLevel="0" max="39" min="6" style="0" width="12"/>
    <col collapsed="false" customWidth="true" hidden="false" outlineLevel="0" max="40" min="40" style="0" width="40"/>
  </cols>
  <sheetData>
    <row r="1" customFormat="false" ht="16.4" hidden="false" customHeight="false" outlineLevel="0" collapsed="false">
      <c r="A1" s="5" t="s">
        <v>11</v>
      </c>
    </row>
    <row r="3" customFormat="false" ht="60" hidden="false" customHeight="true" outlineLevel="0" collapsed="false">
      <c r="A3" s="6" t="s">
        <v>12</v>
      </c>
      <c r="B3" s="6" t="s">
        <v>13</v>
      </c>
      <c r="C3" s="6" t="s">
        <v>14</v>
      </c>
      <c r="D3" s="6" t="s">
        <v>15</v>
      </c>
      <c r="E3" s="6" t="s">
        <v>16</v>
      </c>
      <c r="F3" s="6" t="s">
        <v>17</v>
      </c>
      <c r="G3" s="6" t="s">
        <v>18</v>
      </c>
      <c r="H3" s="6" t="s">
        <v>19</v>
      </c>
      <c r="I3" s="6" t="s">
        <v>20</v>
      </c>
      <c r="J3" s="6" t="s">
        <v>18</v>
      </c>
      <c r="K3" s="6" t="s">
        <v>19</v>
      </c>
      <c r="L3" s="6" t="s">
        <v>21</v>
      </c>
      <c r="M3" s="6" t="s">
        <v>18</v>
      </c>
      <c r="N3" s="6" t="s">
        <v>19</v>
      </c>
      <c r="O3" s="6" t="s">
        <v>22</v>
      </c>
      <c r="P3" s="6" t="s">
        <v>18</v>
      </c>
      <c r="Q3" s="6" t="s">
        <v>19</v>
      </c>
      <c r="R3" s="6" t="s">
        <v>23</v>
      </c>
      <c r="S3" s="6" t="s">
        <v>18</v>
      </c>
      <c r="T3" s="6" t="s">
        <v>19</v>
      </c>
      <c r="U3" s="6" t="s">
        <v>24</v>
      </c>
      <c r="V3" s="6" t="s">
        <v>18</v>
      </c>
      <c r="W3" s="6" t="s">
        <v>19</v>
      </c>
      <c r="X3" s="6" t="s">
        <v>25</v>
      </c>
      <c r="Y3" s="6" t="s">
        <v>18</v>
      </c>
      <c r="Z3" s="6" t="s">
        <v>19</v>
      </c>
      <c r="AA3" s="6" t="s">
        <v>26</v>
      </c>
      <c r="AB3" s="6" t="s">
        <v>18</v>
      </c>
      <c r="AC3" s="6" t="s">
        <v>19</v>
      </c>
      <c r="AD3" s="6" t="s">
        <v>27</v>
      </c>
      <c r="AE3" s="6" t="s">
        <v>18</v>
      </c>
      <c r="AF3" s="6" t="s">
        <v>19</v>
      </c>
      <c r="AG3" s="7" t="s">
        <v>28</v>
      </c>
      <c r="AH3" s="6" t="s">
        <v>29</v>
      </c>
      <c r="AI3" s="6" t="s">
        <v>30</v>
      </c>
      <c r="AJ3" s="6" t="s">
        <v>31</v>
      </c>
      <c r="AK3" s="6" t="s">
        <v>32</v>
      </c>
      <c r="AL3" s="6" t="s">
        <v>33</v>
      </c>
      <c r="AM3" s="6" t="s">
        <v>34</v>
      </c>
      <c r="AN3" s="6" t="s">
        <v>35</v>
      </c>
    </row>
    <row r="4" customFormat="false" ht="15" hidden="false" customHeight="false" outlineLevel="0" collapsed="false">
      <c r="A4" s="8" t="str">
        <f aca="false">"店舗1"</f>
        <v>店舗1</v>
      </c>
      <c r="B4" s="8" t="str">
        <f aca="false">IF(店舗1!C6="","",店舗1!C6)</f>
        <v/>
      </c>
      <c r="C4" s="8" t="str">
        <f aca="false">IF(店舗1!C7="","",店舗1!C7)</f>
        <v/>
      </c>
      <c r="D4" s="9" t="str">
        <f aca="false">IF(店舗1!C5="","",店舗1!C5)</f>
        <v/>
      </c>
      <c r="E4" s="8" t="str">
        <f aca="false">IF(店舗1!C10="","",店舗1!C10)</f>
        <v/>
      </c>
      <c r="F4" s="8" t="str">
        <f aca="false">IF(店舗1!C25="","",店舗1!C25)</f>
        <v/>
      </c>
      <c r="G4" s="8" t="str">
        <f aca="false">IF(店舗1!D25="","",店舗1!D25)</f>
        <v/>
      </c>
      <c r="H4" s="10" t="str">
        <f aca="false">IF(店舗1!F25="","",店舗1!F25)</f>
        <v/>
      </c>
      <c r="I4" s="8" t="str">
        <f aca="false">IF(店舗1!C26="","",店舗1!C26)</f>
        <v/>
      </c>
      <c r="J4" s="8" t="str">
        <f aca="false">IF(店舗1!D26="","",店舗1!D26)</f>
        <v/>
      </c>
      <c r="K4" s="10" t="str">
        <f aca="false">IF(店舗1!F26="","",店舗1!F26)</f>
        <v/>
      </c>
      <c r="L4" s="8" t="str">
        <f aca="false">IF(店舗1!C27="","",店舗1!C27)</f>
        <v/>
      </c>
      <c r="M4" s="8" t="str">
        <f aca="false">IF(店舗1!D27="","",店舗1!D27)</f>
        <v/>
      </c>
      <c r="N4" s="10" t="str">
        <f aca="false">IF(店舗1!F27="","",店舗1!F27)</f>
        <v/>
      </c>
      <c r="O4" s="8" t="str">
        <f aca="false">IF(店舗1!C28="","",店舗1!C28)</f>
        <v/>
      </c>
      <c r="P4" s="8" t="str">
        <f aca="false">IF(店舗1!D28="","",店舗1!D28)</f>
        <v/>
      </c>
      <c r="Q4" s="10" t="str">
        <f aca="false">IF(店舗1!F28="","",店舗1!F28)</f>
        <v/>
      </c>
      <c r="R4" s="8" t="str">
        <f aca="false">IF(店舗1!C29="","",店舗1!C29)</f>
        <v/>
      </c>
      <c r="S4" s="8" t="str">
        <f aca="false">IF(店舗1!D29="","",店舗1!D29)</f>
        <v/>
      </c>
      <c r="T4" s="10" t="str">
        <f aca="false">IF(店舗1!F29="","",店舗1!F29)</f>
        <v/>
      </c>
      <c r="U4" s="8" t="str">
        <f aca="false">IF(店舗1!C30="","",店舗1!C30)</f>
        <v/>
      </c>
      <c r="V4" s="8" t="str">
        <f aca="false">IF(店舗1!D30="","",店舗1!D30)</f>
        <v/>
      </c>
      <c r="W4" s="10" t="str">
        <f aca="false">IF(店舗1!F30="","",店舗1!F30)</f>
        <v/>
      </c>
      <c r="X4" s="8" t="str">
        <f aca="false">IF(店舗1!C31="","",店舗1!C31)</f>
        <v/>
      </c>
      <c r="Y4" s="8" t="str">
        <f aca="false">IF(店舗1!D31="","",店舗1!D31)</f>
        <v/>
      </c>
      <c r="Z4" s="10" t="str">
        <f aca="false">IF(店舗1!F31="","",店舗1!F31)</f>
        <v/>
      </c>
      <c r="AA4" s="8" t="str">
        <f aca="false">IF(店舗1!C32="","",店舗1!C32)</f>
        <v/>
      </c>
      <c r="AB4" s="8" t="str">
        <f aca="false">IF(店舗1!D32="","",店舗1!D32)</f>
        <v/>
      </c>
      <c r="AC4" s="10" t="str">
        <f aca="false">IF(店舗1!F32="","",店舗1!F32)</f>
        <v/>
      </c>
      <c r="AD4" s="8" t="str">
        <f aca="false">IF(店舗1!C33="","",店舗1!C33)</f>
        <v/>
      </c>
      <c r="AE4" s="8" t="str">
        <f aca="false">IF(店舗1!D33="","",店舗1!D33)</f>
        <v/>
      </c>
      <c r="AF4" s="10" t="str">
        <f aca="false">IF(店舗1!F33="","",店舗1!F33)</f>
        <v/>
      </c>
      <c r="AG4" s="8" t="str">
        <f aca="false">IF(店舗1!D34="","",店舗1!D34)</f>
        <v/>
      </c>
      <c r="AH4" s="8" t="str">
        <f aca="false">IF(店舗1!D35="","",店舗1!D35)</f>
        <v/>
      </c>
      <c r="AI4" s="8" t="str">
        <f aca="false">IF(店舗1!D36="","",店舗1!D36)</f>
        <v/>
      </c>
      <c r="AJ4" s="8" t="str">
        <f aca="false">IF(店舗1!C57="","",店舗1!C57)</f>
        <v/>
      </c>
      <c r="AK4" s="8" t="str">
        <f aca="false">IF(店舗1!C59="","",店舗1!C59)</f>
        <v/>
      </c>
      <c r="AL4" s="8" t="str">
        <f aca="false">IF(店舗1!C67="","",店舗1!C67)</f>
        <v/>
      </c>
      <c r="AM4" s="8" t="n">
        <f aca="false">COUNTA(店舗1!A63:A65)</f>
        <v>0</v>
      </c>
      <c r="AN4" s="8" t="str">
        <f aca="false">IF(店舗1!C37="","",店舗1!C37)</f>
        <v/>
      </c>
    </row>
    <row r="5" customFormat="false" ht="15" hidden="false" customHeight="false" outlineLevel="0" collapsed="false">
      <c r="A5" s="8" t="str">
        <f aca="false">"店舗2"</f>
        <v>店舗2</v>
      </c>
      <c r="B5" s="8" t="str">
        <f aca="false">IF(店舗2!C6="","",店舗2!C6)</f>
        <v/>
      </c>
      <c r="C5" s="8" t="str">
        <f aca="false">IF(店舗2!C7="","",店舗2!C7)</f>
        <v/>
      </c>
      <c r="D5" s="9" t="str">
        <f aca="false">IF(店舗2!C5="","",店舗2!C5)</f>
        <v/>
      </c>
      <c r="E5" s="8" t="str">
        <f aca="false">IF(店舗2!C10="","",店舗2!C10)</f>
        <v/>
      </c>
      <c r="F5" s="8" t="str">
        <f aca="false">IF(店舗2!C25="","",店舗2!C25)</f>
        <v/>
      </c>
      <c r="G5" s="8" t="str">
        <f aca="false">IF(店舗2!D25="","",店舗2!D25)</f>
        <v/>
      </c>
      <c r="H5" s="10" t="str">
        <f aca="false">IF(店舗2!F25="","",店舗2!F25)</f>
        <v/>
      </c>
      <c r="I5" s="8" t="str">
        <f aca="false">IF(店舗2!C26="","",店舗2!C26)</f>
        <v/>
      </c>
      <c r="J5" s="8" t="str">
        <f aca="false">IF(店舗2!D26="","",店舗2!D26)</f>
        <v/>
      </c>
      <c r="K5" s="10" t="str">
        <f aca="false">IF(店舗2!F26="","",店舗2!F26)</f>
        <v/>
      </c>
      <c r="L5" s="8" t="str">
        <f aca="false">IF(店舗2!C27="","",店舗2!C27)</f>
        <v/>
      </c>
      <c r="M5" s="8" t="str">
        <f aca="false">IF(店舗2!D27="","",店舗2!D27)</f>
        <v/>
      </c>
      <c r="N5" s="10" t="str">
        <f aca="false">IF(店舗2!F27="","",店舗2!F27)</f>
        <v/>
      </c>
      <c r="O5" s="8" t="str">
        <f aca="false">IF(店舗2!C28="","",店舗2!C28)</f>
        <v/>
      </c>
      <c r="P5" s="8" t="str">
        <f aca="false">IF(店舗2!D28="","",店舗2!D28)</f>
        <v/>
      </c>
      <c r="Q5" s="10" t="str">
        <f aca="false">IF(店舗2!F28="","",店舗2!F28)</f>
        <v/>
      </c>
      <c r="R5" s="8" t="str">
        <f aca="false">IF(店舗2!C29="","",店舗2!C29)</f>
        <v/>
      </c>
      <c r="S5" s="8" t="str">
        <f aca="false">IF(店舗2!D29="","",店舗2!D29)</f>
        <v/>
      </c>
      <c r="T5" s="10" t="str">
        <f aca="false">IF(店舗2!F29="","",店舗2!F29)</f>
        <v/>
      </c>
      <c r="U5" s="8" t="str">
        <f aca="false">IF(店舗2!C30="","",店舗2!C30)</f>
        <v/>
      </c>
      <c r="V5" s="8" t="str">
        <f aca="false">IF(店舗2!D30="","",店舗2!D30)</f>
        <v/>
      </c>
      <c r="W5" s="10" t="str">
        <f aca="false">IF(店舗2!F30="","",店舗2!F30)</f>
        <v/>
      </c>
      <c r="X5" s="8" t="str">
        <f aca="false">IF(店舗2!C31="","",店舗2!C31)</f>
        <v/>
      </c>
      <c r="Y5" s="8" t="str">
        <f aca="false">IF(店舗2!D31="","",店舗2!D31)</f>
        <v/>
      </c>
      <c r="Z5" s="10" t="str">
        <f aca="false">IF(店舗2!F31="","",店舗2!F31)</f>
        <v/>
      </c>
      <c r="AA5" s="8" t="str">
        <f aca="false">IF(店舗2!C32="","",店舗2!C32)</f>
        <v/>
      </c>
      <c r="AB5" s="8" t="str">
        <f aca="false">IF(店舗2!D32="","",店舗2!D32)</f>
        <v/>
      </c>
      <c r="AC5" s="10" t="str">
        <f aca="false">IF(店舗2!F32="","",店舗2!F32)</f>
        <v/>
      </c>
      <c r="AD5" s="8" t="str">
        <f aca="false">IF(店舗2!C33="","",店舗2!C33)</f>
        <v/>
      </c>
      <c r="AE5" s="8" t="str">
        <f aca="false">IF(店舗2!D33="","",店舗2!D33)</f>
        <v/>
      </c>
      <c r="AF5" s="10" t="str">
        <f aca="false">IF(店舗2!F33="","",店舗2!F33)</f>
        <v/>
      </c>
      <c r="AG5" s="8" t="str">
        <f aca="false">IF(店舗2!D34="","",店舗2!D34)</f>
        <v/>
      </c>
      <c r="AH5" s="8" t="str">
        <f aca="false">IF(店舗2!D35="","",店舗2!D35)</f>
        <v/>
      </c>
      <c r="AI5" s="8" t="str">
        <f aca="false">IF(店舗2!D36="","",店舗2!D36)</f>
        <v/>
      </c>
      <c r="AJ5" s="8" t="str">
        <f aca="false">IF(店舗2!C57="","",店舗2!C57)</f>
        <v/>
      </c>
      <c r="AK5" s="8" t="str">
        <f aca="false">IF(店舗2!C59="","",店舗2!C59)</f>
        <v/>
      </c>
      <c r="AL5" s="8" t="str">
        <f aca="false">IF(店舗2!C67="","",店舗2!C67)</f>
        <v/>
      </c>
      <c r="AM5" s="8" t="n">
        <f aca="false">COUNTA(店舗2!A63:A65)</f>
        <v>0</v>
      </c>
      <c r="AN5" s="8" t="str">
        <f aca="false">IF(店舗2!C37="","",店舗2!C37)</f>
        <v/>
      </c>
    </row>
    <row r="6" customFormat="false" ht="15" hidden="false" customHeight="false" outlineLevel="0" collapsed="false">
      <c r="A6" s="8" t="str">
        <f aca="false">"店舗3"</f>
        <v>店舗3</v>
      </c>
      <c r="B6" s="8" t="str">
        <f aca="false">IF(店舗3!C6="","",店舗3!C6)</f>
        <v/>
      </c>
      <c r="C6" s="8" t="str">
        <f aca="false">IF(店舗3!C7="","",店舗3!C7)</f>
        <v/>
      </c>
      <c r="D6" s="9" t="str">
        <f aca="false">IF(店舗3!C5="","",店舗3!C5)</f>
        <v/>
      </c>
      <c r="E6" s="8" t="str">
        <f aca="false">IF(店舗3!C10="","",店舗3!C10)</f>
        <v/>
      </c>
      <c r="F6" s="8" t="str">
        <f aca="false">IF(店舗3!C25="","",店舗3!C25)</f>
        <v/>
      </c>
      <c r="G6" s="8" t="str">
        <f aca="false">IF(店舗3!D25="","",店舗3!D25)</f>
        <v/>
      </c>
      <c r="H6" s="10" t="str">
        <f aca="false">IF(店舗3!F25="","",店舗3!F25)</f>
        <v/>
      </c>
      <c r="I6" s="8" t="str">
        <f aca="false">IF(店舗3!C26="","",店舗3!C26)</f>
        <v/>
      </c>
      <c r="J6" s="8" t="str">
        <f aca="false">IF(店舗3!D26="","",店舗3!D26)</f>
        <v/>
      </c>
      <c r="K6" s="10" t="str">
        <f aca="false">IF(店舗3!F26="","",店舗3!F26)</f>
        <v/>
      </c>
      <c r="L6" s="8" t="str">
        <f aca="false">IF(店舗3!C27="","",店舗3!C27)</f>
        <v/>
      </c>
      <c r="M6" s="8" t="str">
        <f aca="false">IF(店舗3!D27="","",店舗3!D27)</f>
        <v/>
      </c>
      <c r="N6" s="10" t="str">
        <f aca="false">IF(店舗3!F27="","",店舗3!F27)</f>
        <v/>
      </c>
      <c r="O6" s="8" t="str">
        <f aca="false">IF(店舗3!C28="","",店舗3!C28)</f>
        <v/>
      </c>
      <c r="P6" s="8" t="str">
        <f aca="false">IF(店舗3!D28="","",店舗3!D28)</f>
        <v/>
      </c>
      <c r="Q6" s="10" t="str">
        <f aca="false">IF(店舗3!F28="","",店舗3!F28)</f>
        <v/>
      </c>
      <c r="R6" s="8" t="str">
        <f aca="false">IF(店舗3!C29="","",店舗3!C29)</f>
        <v/>
      </c>
      <c r="S6" s="8" t="str">
        <f aca="false">IF(店舗3!D29="","",店舗3!D29)</f>
        <v/>
      </c>
      <c r="T6" s="10" t="str">
        <f aca="false">IF(店舗3!F29="","",店舗3!F29)</f>
        <v/>
      </c>
      <c r="U6" s="8" t="str">
        <f aca="false">IF(店舗3!C30="","",店舗3!C30)</f>
        <v/>
      </c>
      <c r="V6" s="8" t="str">
        <f aca="false">IF(店舗3!D30="","",店舗3!D30)</f>
        <v/>
      </c>
      <c r="W6" s="10" t="str">
        <f aca="false">IF(店舗3!F30="","",店舗3!F30)</f>
        <v/>
      </c>
      <c r="X6" s="8" t="str">
        <f aca="false">IF(店舗3!C31="","",店舗3!C31)</f>
        <v/>
      </c>
      <c r="Y6" s="8" t="str">
        <f aca="false">IF(店舗3!D31="","",店舗3!D31)</f>
        <v/>
      </c>
      <c r="Z6" s="10" t="str">
        <f aca="false">IF(店舗3!F31="","",店舗3!F31)</f>
        <v/>
      </c>
      <c r="AA6" s="8" t="str">
        <f aca="false">IF(店舗3!C32="","",店舗3!C32)</f>
        <v/>
      </c>
      <c r="AB6" s="8" t="str">
        <f aca="false">IF(店舗3!D32="","",店舗3!D32)</f>
        <v/>
      </c>
      <c r="AC6" s="10" t="str">
        <f aca="false">IF(店舗3!F32="","",店舗3!F32)</f>
        <v/>
      </c>
      <c r="AD6" s="8" t="str">
        <f aca="false">IF(店舗3!C33="","",店舗3!C33)</f>
        <v/>
      </c>
      <c r="AE6" s="8" t="str">
        <f aca="false">IF(店舗3!D33="","",店舗3!D33)</f>
        <v/>
      </c>
      <c r="AF6" s="10" t="str">
        <f aca="false">IF(店舗3!F33="","",店舗3!F33)</f>
        <v/>
      </c>
      <c r="AG6" s="8" t="str">
        <f aca="false">IF(店舗3!D34="","",店舗3!D34)</f>
        <v/>
      </c>
      <c r="AH6" s="8" t="str">
        <f aca="false">IF(店舗3!D35="","",店舗3!D35)</f>
        <v/>
      </c>
      <c r="AI6" s="8" t="str">
        <f aca="false">IF(店舗3!D36="","",店舗3!D36)</f>
        <v/>
      </c>
      <c r="AJ6" s="8" t="str">
        <f aca="false">IF(店舗3!C57="","",店舗3!C57)</f>
        <v/>
      </c>
      <c r="AK6" s="8" t="str">
        <f aca="false">IF(店舗3!C59="","",店舗3!C59)</f>
        <v/>
      </c>
      <c r="AL6" s="8" t="str">
        <f aca="false">IF(店舗3!C67="","",店舗3!C67)</f>
        <v/>
      </c>
      <c r="AM6" s="8" t="n">
        <f aca="false">COUNTA(店舗3!A63:A65)</f>
        <v>0</v>
      </c>
      <c r="AN6" s="8" t="str">
        <f aca="false">IF(店舗3!C37="","",店舗3!C37)</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0"/>
    <col collapsed="false" customWidth="true" hidden="false" outlineLevel="0" max="4" min="3" style="0" width="14"/>
    <col collapsed="false" customWidth="true" hidden="false" outlineLevel="0" max="5" min="5" style="0" width="13"/>
    <col collapsed="false" customWidth="true" hidden="false" outlineLevel="0" max="6" min="6" style="0" width="12"/>
    <col collapsed="false" customWidth="true" hidden="false" outlineLevel="0" max="7" min="7" style="0" width="30"/>
  </cols>
  <sheetData>
    <row r="1" customFormat="false" ht="25.5" hidden="false" customHeight="true" outlineLevel="0" collapsed="false">
      <c r="A1" s="11" t="s">
        <v>0</v>
      </c>
      <c r="B1" s="11"/>
      <c r="C1" s="11"/>
      <c r="D1" s="11"/>
      <c r="E1" s="11"/>
      <c r="F1" s="11"/>
      <c r="G1" s="11"/>
    </row>
    <row r="2" customFormat="false" ht="30" hidden="false" customHeight="true" outlineLevel="0" collapsed="false">
      <c r="A2" s="12" t="s">
        <v>36</v>
      </c>
      <c r="B2" s="12"/>
      <c r="C2" s="12"/>
      <c r="D2" s="12"/>
      <c r="E2" s="12"/>
      <c r="F2" s="12"/>
      <c r="G2" s="12"/>
    </row>
    <row r="4" customFormat="false" ht="21.75" hidden="false" customHeight="true" outlineLevel="0" collapsed="false">
      <c r="A4" s="13" t="s">
        <v>37</v>
      </c>
      <c r="B4" s="13"/>
      <c r="C4" s="13"/>
      <c r="D4" s="13"/>
      <c r="E4" s="13"/>
      <c r="F4" s="13"/>
      <c r="G4" s="13"/>
    </row>
    <row r="5" customFormat="false" ht="15" hidden="false" customHeight="true" outlineLevel="0" collapsed="false">
      <c r="A5" s="14" t="s">
        <v>15</v>
      </c>
      <c r="B5" s="14"/>
      <c r="C5" s="15"/>
      <c r="D5" s="15"/>
      <c r="E5" s="15"/>
      <c r="F5" s="15"/>
      <c r="G5" s="15"/>
    </row>
    <row r="6" customFormat="false" ht="15" hidden="false" customHeight="true" outlineLevel="0" collapsed="false">
      <c r="A6" s="14" t="s">
        <v>13</v>
      </c>
      <c r="B6" s="14"/>
      <c r="C6" s="16"/>
      <c r="D6" s="16"/>
      <c r="E6" s="16"/>
      <c r="F6" s="16"/>
      <c r="G6" s="16"/>
    </row>
    <row r="7" customFormat="false" ht="15" hidden="false" customHeight="true" outlineLevel="0" collapsed="false">
      <c r="A7" s="14" t="s">
        <v>38</v>
      </c>
      <c r="B7" s="14"/>
      <c r="C7" s="16"/>
      <c r="D7" s="16"/>
      <c r="E7" s="16"/>
      <c r="F7" s="16"/>
      <c r="G7" s="16"/>
    </row>
    <row r="8" customFormat="false" ht="15" hidden="false" customHeight="true" outlineLevel="0" collapsed="false">
      <c r="A8" s="14" t="s">
        <v>39</v>
      </c>
      <c r="B8" s="14"/>
      <c r="C8" s="16"/>
      <c r="D8" s="16"/>
      <c r="E8" s="16"/>
      <c r="F8" s="16"/>
      <c r="G8" s="16"/>
    </row>
    <row r="9" customFormat="false" ht="15" hidden="false" customHeight="true" outlineLevel="0" collapsed="false">
      <c r="A9" s="14" t="s">
        <v>40</v>
      </c>
      <c r="B9" s="14"/>
      <c r="C9" s="15"/>
      <c r="D9" s="15"/>
      <c r="E9" s="15"/>
      <c r="F9" s="15"/>
      <c r="G9" s="15"/>
    </row>
    <row r="10" customFormat="false" ht="15" hidden="false" customHeight="true" outlineLevel="0" collapsed="false">
      <c r="A10" s="14" t="s">
        <v>16</v>
      </c>
      <c r="B10" s="14"/>
      <c r="C10" s="16"/>
      <c r="D10" s="16"/>
      <c r="E10" s="16"/>
      <c r="F10" s="16"/>
      <c r="G10" s="16"/>
    </row>
    <row r="11" customFormat="false" ht="15" hidden="false" customHeight="true" outlineLevel="0" collapsed="false">
      <c r="A11" s="14" t="s">
        <v>41</v>
      </c>
      <c r="B11" s="14"/>
      <c r="C11" s="16"/>
      <c r="D11" s="16"/>
      <c r="E11" s="16"/>
      <c r="F11" s="16"/>
      <c r="G11" s="16"/>
    </row>
    <row r="12" customFormat="false" ht="15" hidden="false" customHeight="true" outlineLevel="0" collapsed="false">
      <c r="A12" s="14" t="s">
        <v>42</v>
      </c>
      <c r="B12" s="14"/>
      <c r="C12" s="16"/>
      <c r="D12" s="16"/>
      <c r="E12" s="16"/>
      <c r="F12" s="16"/>
      <c r="G12" s="16"/>
    </row>
    <row r="13" customFormat="false" ht="15" hidden="false" customHeight="true" outlineLevel="0" collapsed="false">
      <c r="A13" s="14" t="s">
        <v>43</v>
      </c>
      <c r="B13" s="14"/>
      <c r="C13" s="16"/>
      <c r="D13" s="16"/>
      <c r="E13" s="16"/>
      <c r="F13" s="16"/>
      <c r="G13" s="16"/>
    </row>
    <row r="15" customFormat="false" ht="21.75" hidden="false" customHeight="true" outlineLevel="0" collapsed="false">
      <c r="A15" s="13" t="s">
        <v>44</v>
      </c>
      <c r="B15" s="13"/>
      <c r="C15" s="13"/>
      <c r="D15" s="13"/>
      <c r="E15" s="13"/>
      <c r="F15" s="13"/>
      <c r="G15" s="13"/>
    </row>
    <row r="16" customFormat="false" ht="33.75" hidden="false" customHeight="true" outlineLevel="0" collapsed="false">
      <c r="A16" s="14" t="s">
        <v>45</v>
      </c>
      <c r="B16" s="14"/>
      <c r="C16" s="16"/>
      <c r="D16" s="16"/>
      <c r="E16" s="16"/>
      <c r="F16" s="16"/>
      <c r="G16" s="16"/>
    </row>
    <row r="17" customFormat="false" ht="33.75" hidden="false" customHeight="true" outlineLevel="0" collapsed="false">
      <c r="A17" s="14" t="s">
        <v>46</v>
      </c>
      <c r="B17" s="14"/>
      <c r="C17" s="16"/>
      <c r="D17" s="16"/>
      <c r="E17" s="16"/>
      <c r="F17" s="16"/>
      <c r="G17" s="16"/>
    </row>
    <row r="18" customFormat="false" ht="33.75" hidden="false" customHeight="true" outlineLevel="0" collapsed="false">
      <c r="A18" s="14" t="s">
        <v>47</v>
      </c>
      <c r="B18" s="14"/>
      <c r="C18" s="16"/>
      <c r="D18" s="16"/>
      <c r="E18" s="16"/>
      <c r="F18" s="16"/>
      <c r="G18" s="16"/>
    </row>
    <row r="19" customFormat="false" ht="33.75" hidden="false" customHeight="true" outlineLevel="0" collapsed="false">
      <c r="A19" s="14" t="s">
        <v>48</v>
      </c>
      <c r="B19" s="14"/>
      <c r="C19" s="16"/>
      <c r="D19" s="16"/>
      <c r="E19" s="16"/>
      <c r="F19" s="16"/>
      <c r="G19" s="16"/>
    </row>
    <row r="20" customFormat="false" ht="33.75" hidden="false" customHeight="true" outlineLevel="0" collapsed="false">
      <c r="A20" s="14" t="s">
        <v>49</v>
      </c>
      <c r="B20" s="14"/>
      <c r="C20" s="16"/>
      <c r="D20" s="16"/>
      <c r="E20" s="16"/>
      <c r="F20" s="16"/>
      <c r="G20" s="16"/>
    </row>
    <row r="21" customFormat="false" ht="33.75" hidden="false" customHeight="true" outlineLevel="0" collapsed="false">
      <c r="A21" s="14" t="s">
        <v>50</v>
      </c>
      <c r="B21" s="14"/>
      <c r="C21" s="16"/>
      <c r="D21" s="16"/>
      <c r="E21" s="16"/>
      <c r="F21" s="16"/>
      <c r="G21" s="16"/>
    </row>
    <row r="23" customFormat="false" ht="21.75" hidden="false" customHeight="true" outlineLevel="0" collapsed="false">
      <c r="A23" s="13" t="s">
        <v>51</v>
      </c>
      <c r="B23" s="13"/>
      <c r="C23" s="13"/>
      <c r="D23" s="13"/>
      <c r="E23" s="13"/>
      <c r="F23" s="13"/>
      <c r="G23" s="13"/>
    </row>
    <row r="24" customFormat="false" ht="15" hidden="false" customHeight="false" outlineLevel="0" collapsed="false">
      <c r="A24" s="17" t="s">
        <v>52</v>
      </c>
      <c r="B24" s="17" t="s">
        <v>53</v>
      </c>
      <c r="C24" s="17" t="s">
        <v>54</v>
      </c>
      <c r="D24" s="17" t="s">
        <v>18</v>
      </c>
      <c r="E24" s="17" t="s">
        <v>55</v>
      </c>
      <c r="F24" s="17" t="s">
        <v>19</v>
      </c>
      <c r="G24" s="17" t="s">
        <v>56</v>
      </c>
    </row>
    <row r="25" customFormat="false" ht="15" hidden="false" customHeight="false" outlineLevel="0" collapsed="false">
      <c r="A25" s="18" t="s">
        <v>57</v>
      </c>
      <c r="B25" s="19" t="s">
        <v>58</v>
      </c>
      <c r="C25" s="20"/>
      <c r="D25" s="20"/>
      <c r="E25" s="21" t="str">
        <f aca="false">IF(OR(C25="",D25=""),"",C25-D25)</f>
        <v/>
      </c>
      <c r="F25" s="22" t="str">
        <f aca="false">IF(OR(C25="",D25="",N(C25)=0),"",(C25-D25)/C25)</f>
        <v/>
      </c>
      <c r="G25" s="16"/>
    </row>
    <row r="26" customFormat="false" ht="26.85" hidden="false" customHeight="false" outlineLevel="0" collapsed="false">
      <c r="A26" s="18" t="s">
        <v>59</v>
      </c>
      <c r="B26" s="19" t="s">
        <v>60</v>
      </c>
      <c r="C26" s="23"/>
      <c r="D26" s="23"/>
      <c r="E26" s="24" t="str">
        <f aca="false">IF(OR(C26="",D26=""),"",C26-D26)</f>
        <v/>
      </c>
      <c r="F26" s="22" t="str">
        <f aca="false">IF(OR(C26="",D26="",N(C26)=0),"",(C26-D26)/C26)</f>
        <v/>
      </c>
      <c r="G26" s="16"/>
    </row>
    <row r="27" customFormat="false" ht="15" hidden="false" customHeight="false" outlineLevel="0" collapsed="false">
      <c r="A27" s="18" t="s">
        <v>61</v>
      </c>
      <c r="B27" s="19" t="s">
        <v>60</v>
      </c>
      <c r="C27" s="23"/>
      <c r="D27" s="23"/>
      <c r="E27" s="24" t="str">
        <f aca="false">IF(OR(C27="",D27=""),"",C27-D27)</f>
        <v/>
      </c>
      <c r="F27" s="22" t="str">
        <f aca="false">IF(OR(C27="",D27="",N(C27)=0),"",(C27-D27)/C27)</f>
        <v/>
      </c>
      <c r="G27" s="16"/>
    </row>
    <row r="28" customFormat="false" ht="15" hidden="false" customHeight="false" outlineLevel="0" collapsed="false">
      <c r="A28" s="18" t="s">
        <v>62</v>
      </c>
      <c r="B28" s="19" t="s">
        <v>63</v>
      </c>
      <c r="C28" s="20"/>
      <c r="D28" s="20"/>
      <c r="E28" s="21" t="str">
        <f aca="false">IF(OR(C28="",D28=""),"",C28-D28)</f>
        <v/>
      </c>
      <c r="F28" s="22" t="str">
        <f aca="false">IF(OR(C28="",D28="",N(C28)=0),"",(C28-D28)/C28)</f>
        <v/>
      </c>
      <c r="G28" s="16"/>
    </row>
    <row r="29" customFormat="false" ht="15" hidden="false" customHeight="false" outlineLevel="0" collapsed="false">
      <c r="A29" s="18" t="s">
        <v>64</v>
      </c>
      <c r="B29" s="19" t="s">
        <v>63</v>
      </c>
      <c r="C29" s="20"/>
      <c r="D29" s="20"/>
      <c r="E29" s="21" t="str">
        <f aca="false">IF(OR(C29="",D29=""),"",C29-D29)</f>
        <v/>
      </c>
      <c r="F29" s="22" t="str">
        <f aca="false">IF(OR(C29="",D29="",N(C29)=0),"",(C29-D29)/C29)</f>
        <v/>
      </c>
      <c r="G29" s="16"/>
    </row>
    <row r="30" customFormat="false" ht="15" hidden="false" customHeight="false" outlineLevel="0" collapsed="false">
      <c r="A30" s="18" t="s">
        <v>65</v>
      </c>
      <c r="B30" s="19" t="s">
        <v>66</v>
      </c>
      <c r="C30" s="20"/>
      <c r="D30" s="20"/>
      <c r="E30" s="21" t="str">
        <f aca="false">IF(OR(C30="",D30=""),"",C30-D30)</f>
        <v/>
      </c>
      <c r="F30" s="22" t="str">
        <f aca="false">IF(OR(C30="",D30="",N(C30)=0),"",(C30-D30)/C30)</f>
        <v/>
      </c>
      <c r="G30" s="16"/>
    </row>
    <row r="31" customFormat="false" ht="15" hidden="false" customHeight="false" outlineLevel="0" collapsed="false">
      <c r="A31" s="18" t="s">
        <v>67</v>
      </c>
      <c r="B31" s="19" t="s">
        <v>68</v>
      </c>
      <c r="C31" s="20"/>
      <c r="D31" s="20"/>
      <c r="E31" s="21" t="str">
        <f aca="false">IF(OR(C31="",D31=""),"",C31-D31)</f>
        <v/>
      </c>
      <c r="F31" s="22" t="str">
        <f aca="false">IF(OR(C31="",D31="",N(C31)=0),"",(C31-D31)/C31)</f>
        <v/>
      </c>
      <c r="G31" s="16"/>
    </row>
    <row r="32" customFormat="false" ht="15" hidden="false" customHeight="false" outlineLevel="0" collapsed="false">
      <c r="A32" s="18" t="s">
        <v>69</v>
      </c>
      <c r="B32" s="19" t="s">
        <v>68</v>
      </c>
      <c r="C32" s="20"/>
      <c r="D32" s="20"/>
      <c r="E32" s="21" t="str">
        <f aca="false">IF(OR(C32="",D32=""),"",C32-D32)</f>
        <v/>
      </c>
      <c r="F32" s="22" t="str">
        <f aca="false">IF(OR(C32="",D32="",N(C32)=0),"",(C32-D32)/C32)</f>
        <v/>
      </c>
      <c r="G32" s="16"/>
    </row>
    <row r="33" customFormat="false" ht="26.85" hidden="false" customHeight="false" outlineLevel="0" collapsed="false">
      <c r="A33" s="18" t="s">
        <v>70</v>
      </c>
      <c r="B33" s="19" t="s">
        <v>71</v>
      </c>
      <c r="C33" s="20"/>
      <c r="D33" s="20"/>
      <c r="E33" s="21" t="str">
        <f aca="false">IF(OR(C33="",D33=""),"",C33-D33)</f>
        <v/>
      </c>
      <c r="F33" s="22" t="str">
        <f aca="false">IF(OR(C33="",D33="",N(C33)=0),"",(C33-D33)/C33)</f>
        <v/>
      </c>
      <c r="G33" s="16"/>
    </row>
    <row r="34" customFormat="false" ht="15" hidden="false" customHeight="false" outlineLevel="0" collapsed="false">
      <c r="A34" s="25" t="s">
        <v>72</v>
      </c>
      <c r="B34" s="19" t="s">
        <v>63</v>
      </c>
      <c r="C34" s="26" t="s">
        <v>73</v>
      </c>
      <c r="D34" s="20"/>
      <c r="E34" s="27"/>
      <c r="F34" s="27"/>
      <c r="G34" s="16"/>
    </row>
    <row r="35" customFormat="false" ht="15" hidden="false" customHeight="false" outlineLevel="0" collapsed="false">
      <c r="A35" s="25" t="s">
        <v>74</v>
      </c>
      <c r="B35" s="19" t="s">
        <v>68</v>
      </c>
      <c r="C35" s="26" t="s">
        <v>73</v>
      </c>
      <c r="D35" s="20"/>
      <c r="E35" s="27"/>
      <c r="F35" s="27"/>
      <c r="G35" s="16"/>
    </row>
    <row r="36" customFormat="false" ht="15" hidden="false" customHeight="false" outlineLevel="0" collapsed="false">
      <c r="A36" s="25" t="s">
        <v>75</v>
      </c>
      <c r="B36" s="19" t="s">
        <v>68</v>
      </c>
      <c r="C36" s="26" t="s">
        <v>73</v>
      </c>
      <c r="D36" s="20"/>
      <c r="E36" s="27"/>
      <c r="F36" s="27"/>
      <c r="G36" s="16"/>
    </row>
    <row r="37" customFormat="false" ht="33.75" hidden="false" customHeight="true" outlineLevel="0" collapsed="false">
      <c r="A37" s="17" t="s">
        <v>76</v>
      </c>
      <c r="B37" s="17"/>
      <c r="C37" s="16"/>
      <c r="D37" s="16"/>
      <c r="E37" s="16"/>
      <c r="F37" s="16"/>
      <c r="G37" s="16"/>
    </row>
    <row r="39" customFormat="false" ht="21.75" hidden="false" customHeight="true" outlineLevel="0" collapsed="false">
      <c r="A39" s="13" t="s">
        <v>77</v>
      </c>
      <c r="B39" s="13"/>
      <c r="C39" s="13"/>
      <c r="D39" s="13"/>
      <c r="E39" s="13"/>
      <c r="F39" s="13"/>
      <c r="G39" s="13"/>
    </row>
    <row r="40" customFormat="false" ht="15" hidden="false" customHeight="true" outlineLevel="0" collapsed="false">
      <c r="A40" s="17" t="s">
        <v>78</v>
      </c>
      <c r="B40" s="17" t="s">
        <v>79</v>
      </c>
      <c r="C40" s="17"/>
      <c r="D40" s="17" t="s">
        <v>80</v>
      </c>
      <c r="E40" s="17"/>
      <c r="F40" s="17"/>
      <c r="G40" s="17"/>
    </row>
    <row r="41" customFormat="false" ht="15" hidden="false" customHeight="false" outlineLevel="0" collapsed="false">
      <c r="A41" s="18" t="s">
        <v>81</v>
      </c>
      <c r="B41" s="16"/>
      <c r="C41" s="16"/>
      <c r="D41" s="16"/>
      <c r="E41" s="16"/>
      <c r="F41" s="16"/>
      <c r="G41" s="16"/>
    </row>
    <row r="42" customFormat="false" ht="26.85" hidden="false" customHeight="false" outlineLevel="0" collapsed="false">
      <c r="A42" s="18" t="s">
        <v>82</v>
      </c>
      <c r="B42" s="16"/>
      <c r="C42" s="16"/>
      <c r="D42" s="16"/>
      <c r="E42" s="16"/>
      <c r="F42" s="16"/>
      <c r="G42" s="16"/>
    </row>
    <row r="43" customFormat="false" ht="15" hidden="false" customHeight="false" outlineLevel="0" collapsed="false">
      <c r="A43" s="25" t="s">
        <v>83</v>
      </c>
      <c r="B43" s="16"/>
      <c r="C43" s="16"/>
      <c r="D43" s="16"/>
      <c r="E43" s="16"/>
      <c r="F43" s="16"/>
      <c r="G43" s="16"/>
    </row>
    <row r="44" customFormat="false" ht="15" hidden="false" customHeight="false" outlineLevel="0" collapsed="false">
      <c r="A44" s="18" t="s">
        <v>84</v>
      </c>
      <c r="B44" s="16"/>
      <c r="C44" s="16"/>
      <c r="D44" s="16"/>
      <c r="E44" s="16"/>
      <c r="F44" s="16"/>
      <c r="G44" s="16"/>
    </row>
    <row r="45" customFormat="false" ht="15" hidden="false" customHeight="false" outlineLevel="0" collapsed="false">
      <c r="A45" s="18" t="s">
        <v>85</v>
      </c>
      <c r="B45" s="16"/>
      <c r="C45" s="16"/>
      <c r="D45" s="16"/>
      <c r="E45" s="16"/>
      <c r="F45" s="16"/>
      <c r="G45" s="16"/>
    </row>
    <row r="46" customFormat="false" ht="15" hidden="false" customHeight="false" outlineLevel="0" collapsed="false">
      <c r="A46" s="18" t="s">
        <v>86</v>
      </c>
      <c r="B46" s="16"/>
      <c r="C46" s="16"/>
      <c r="D46" s="16"/>
      <c r="E46" s="16"/>
      <c r="F46" s="16"/>
      <c r="G46" s="16"/>
    </row>
    <row r="47" customFormat="false" ht="15" hidden="false" customHeight="false" outlineLevel="0" collapsed="false">
      <c r="A47" s="18" t="s">
        <v>87</v>
      </c>
      <c r="B47" s="16"/>
      <c r="C47" s="16"/>
      <c r="D47" s="16"/>
      <c r="E47" s="16"/>
      <c r="F47" s="16"/>
      <c r="G47" s="16"/>
    </row>
    <row r="48" customFormat="false" ht="15" hidden="false" customHeight="false" outlineLevel="0" collapsed="false">
      <c r="A48" s="18" t="s">
        <v>88</v>
      </c>
      <c r="B48" s="16"/>
      <c r="C48" s="16"/>
      <c r="D48" s="16"/>
      <c r="E48" s="16"/>
      <c r="F48" s="16"/>
      <c r="G48" s="16"/>
    </row>
    <row r="49" customFormat="false" ht="15" hidden="false" customHeight="false" outlineLevel="0" collapsed="false">
      <c r="A49" s="25" t="s">
        <v>89</v>
      </c>
      <c r="B49" s="16"/>
      <c r="C49" s="16"/>
      <c r="D49" s="16"/>
      <c r="E49" s="16"/>
      <c r="F49" s="16"/>
      <c r="G49" s="16"/>
    </row>
    <row r="50" customFormat="false" ht="33.75" hidden="false" customHeight="true" outlineLevel="0" collapsed="false">
      <c r="A50" s="14" t="s">
        <v>90</v>
      </c>
      <c r="B50" s="14"/>
      <c r="C50" s="16"/>
      <c r="D50" s="16"/>
      <c r="E50" s="16"/>
      <c r="F50" s="16"/>
      <c r="G50" s="16"/>
    </row>
    <row r="51" customFormat="false" ht="33.75" hidden="false" customHeight="true" outlineLevel="0" collapsed="false">
      <c r="A51" s="14" t="s">
        <v>91</v>
      </c>
      <c r="B51" s="14"/>
      <c r="C51" s="16"/>
      <c r="D51" s="16"/>
      <c r="E51" s="16"/>
      <c r="F51" s="16"/>
      <c r="G51" s="16"/>
    </row>
    <row r="52" customFormat="false" ht="33.75" hidden="false" customHeight="true" outlineLevel="0" collapsed="false">
      <c r="A52" s="14" t="s">
        <v>92</v>
      </c>
      <c r="B52" s="14"/>
      <c r="C52" s="16"/>
      <c r="D52" s="16"/>
      <c r="E52" s="16"/>
      <c r="F52" s="16"/>
      <c r="G52" s="16"/>
    </row>
    <row r="53" customFormat="false" ht="33.75" hidden="false" customHeight="true" outlineLevel="0" collapsed="false">
      <c r="A53" s="14" t="s">
        <v>93</v>
      </c>
      <c r="B53" s="14"/>
      <c r="C53" s="16"/>
      <c r="D53" s="16"/>
      <c r="E53" s="16"/>
      <c r="F53" s="16"/>
      <c r="G53" s="16"/>
    </row>
    <row r="54" customFormat="false" ht="33.75" hidden="false" customHeight="true" outlineLevel="0" collapsed="false">
      <c r="A54" s="14" t="s">
        <v>94</v>
      </c>
      <c r="B54" s="14"/>
      <c r="C54" s="16"/>
      <c r="D54" s="16"/>
      <c r="E54" s="16"/>
      <c r="F54" s="16"/>
      <c r="G54" s="16"/>
    </row>
    <row r="56" customFormat="false" ht="21.75" hidden="false" customHeight="true" outlineLevel="0" collapsed="false">
      <c r="A56" s="13" t="s">
        <v>95</v>
      </c>
      <c r="B56" s="13"/>
      <c r="C56" s="13"/>
      <c r="D56" s="13"/>
      <c r="E56" s="13"/>
      <c r="F56" s="13"/>
      <c r="G56" s="13"/>
    </row>
    <row r="57" customFormat="false" ht="15" hidden="false" customHeight="true" outlineLevel="0" collapsed="false">
      <c r="A57" s="14" t="s">
        <v>96</v>
      </c>
      <c r="B57" s="14"/>
      <c r="C57" s="28"/>
      <c r="D57" s="29" t="str">
        <f aca="false">IF(C57="","",IF(C57&gt;=9,"→ このまま紹介をお願いする",IF(C57&gt;=7,"→ 困りごとを聞いてから、紹介をお願いする","→ 紹介はお願いせず、困りごとを先に直す")))</f>
        <v/>
      </c>
      <c r="E57" s="29"/>
      <c r="F57" s="29"/>
      <c r="G57" s="29"/>
    </row>
    <row r="58" customFormat="false" ht="30" hidden="false" customHeight="true" outlineLevel="0" collapsed="false">
      <c r="A58" s="14" t="s">
        <v>97</v>
      </c>
      <c r="B58" s="14"/>
      <c r="C58" s="16"/>
      <c r="D58" s="16"/>
      <c r="E58" s="16"/>
      <c r="F58" s="16"/>
      <c r="G58" s="16"/>
    </row>
    <row r="59" customFormat="false" ht="15" hidden="false" customHeight="true" outlineLevel="0" collapsed="false">
      <c r="A59" s="14" t="s">
        <v>98</v>
      </c>
      <c r="B59" s="14"/>
      <c r="C59" s="16"/>
      <c r="D59" s="16"/>
      <c r="E59" s="16"/>
      <c r="F59" s="16"/>
      <c r="G59" s="16"/>
    </row>
    <row r="61" customFormat="false" ht="43.5" hidden="false" customHeight="true" outlineLevel="0" collapsed="false">
      <c r="A61" s="12" t="s">
        <v>99</v>
      </c>
      <c r="B61" s="12"/>
      <c r="C61" s="12"/>
      <c r="D61" s="12"/>
      <c r="E61" s="12"/>
      <c r="F61" s="12"/>
      <c r="G61" s="12"/>
    </row>
    <row r="62" customFormat="false" ht="15" hidden="false" customHeight="true" outlineLevel="0" collapsed="false">
      <c r="A62" s="17" t="s">
        <v>100</v>
      </c>
      <c r="B62" s="17"/>
      <c r="C62" s="17" t="s">
        <v>101</v>
      </c>
      <c r="D62" s="17"/>
      <c r="E62" s="17" t="s">
        <v>102</v>
      </c>
      <c r="F62" s="17"/>
      <c r="G62" s="17" t="s">
        <v>103</v>
      </c>
    </row>
    <row r="63" customFormat="false" ht="15" hidden="false" customHeight="false" outlineLevel="0" collapsed="false">
      <c r="A63" s="16"/>
      <c r="B63" s="16"/>
      <c r="C63" s="16"/>
      <c r="D63" s="16"/>
      <c r="E63" s="16"/>
      <c r="F63" s="16"/>
      <c r="G63" s="15"/>
    </row>
    <row r="64" customFormat="false" ht="15" hidden="false" customHeight="false" outlineLevel="0" collapsed="false">
      <c r="A64" s="16"/>
      <c r="B64" s="16"/>
      <c r="C64" s="16"/>
      <c r="D64" s="16"/>
      <c r="E64" s="16"/>
      <c r="F64" s="16"/>
      <c r="G64" s="15"/>
    </row>
    <row r="65" customFormat="false" ht="15" hidden="false" customHeight="false" outlineLevel="0" collapsed="false">
      <c r="A65" s="16"/>
      <c r="B65" s="16"/>
      <c r="C65" s="16"/>
      <c r="D65" s="16"/>
      <c r="E65" s="16"/>
      <c r="F65" s="16"/>
      <c r="G65" s="15"/>
    </row>
    <row r="67" customFormat="false" ht="26.85" hidden="false" customHeight="true" outlineLevel="0" collapsed="false">
      <c r="A67" s="14" t="s">
        <v>104</v>
      </c>
      <c r="B67" s="14"/>
      <c r="C67" s="16"/>
      <c r="D67" s="16"/>
      <c r="E67" s="16"/>
      <c r="F67" s="16"/>
      <c r="G67" s="16"/>
    </row>
    <row r="69" customFormat="false" ht="21.75" hidden="false" customHeight="true" outlineLevel="0" collapsed="false">
      <c r="A69" s="30" t="s">
        <v>105</v>
      </c>
      <c r="B69" s="30"/>
      <c r="C69" s="30"/>
      <c r="D69" s="30"/>
      <c r="E69" s="30"/>
      <c r="F69" s="30"/>
      <c r="G69" s="30"/>
    </row>
    <row r="70" customFormat="false" ht="15" hidden="false" customHeight="true" outlineLevel="0" collapsed="false">
      <c r="A70" s="18" t="s">
        <v>106</v>
      </c>
      <c r="B70" s="18"/>
      <c r="C70" s="18"/>
      <c r="D70" s="18"/>
      <c r="E70" s="18"/>
      <c r="F70" s="18"/>
      <c r="G70" s="31" t="s">
        <v>107</v>
      </c>
    </row>
    <row r="71" customFormat="false" ht="15" hidden="false" customHeight="true" outlineLevel="0" collapsed="false">
      <c r="A71" s="18" t="s">
        <v>108</v>
      </c>
      <c r="B71" s="18"/>
      <c r="C71" s="18"/>
      <c r="D71" s="18"/>
      <c r="E71" s="18"/>
      <c r="F71" s="18"/>
      <c r="G71" s="31" t="s">
        <v>107</v>
      </c>
    </row>
    <row r="72" customFormat="false" ht="15" hidden="false" customHeight="true" outlineLevel="0" collapsed="false">
      <c r="A72" s="18" t="s">
        <v>109</v>
      </c>
      <c r="B72" s="18"/>
      <c r="C72" s="18"/>
      <c r="D72" s="18"/>
      <c r="E72" s="18"/>
      <c r="F72" s="18"/>
      <c r="G72" s="31" t="s">
        <v>107</v>
      </c>
    </row>
    <row r="73" customFormat="false" ht="15" hidden="false" customHeight="true" outlineLevel="0" collapsed="false">
      <c r="A73" s="18" t="s">
        <v>110</v>
      </c>
      <c r="B73" s="18"/>
      <c r="C73" s="18"/>
      <c r="D73" s="18"/>
      <c r="E73" s="18"/>
      <c r="F73" s="18"/>
      <c r="G73" s="31" t="s">
        <v>107</v>
      </c>
    </row>
  </sheetData>
  <mergeCells count="95">
    <mergeCell ref="A1:G1"/>
    <mergeCell ref="A2:G2"/>
    <mergeCell ref="A4:G4"/>
    <mergeCell ref="A5:B5"/>
    <mergeCell ref="C5:G5"/>
    <mergeCell ref="A6:B6"/>
    <mergeCell ref="C6:G6"/>
    <mergeCell ref="A7:B7"/>
    <mergeCell ref="C7:G7"/>
    <mergeCell ref="A8:B8"/>
    <mergeCell ref="C8:G8"/>
    <mergeCell ref="A9:B9"/>
    <mergeCell ref="C9:G9"/>
    <mergeCell ref="A10:B10"/>
    <mergeCell ref="C10:G10"/>
    <mergeCell ref="A11:B11"/>
    <mergeCell ref="C11:G11"/>
    <mergeCell ref="A12:B12"/>
    <mergeCell ref="C12:G12"/>
    <mergeCell ref="A13:B13"/>
    <mergeCell ref="C13:G13"/>
    <mergeCell ref="A15:G15"/>
    <mergeCell ref="A16:B16"/>
    <mergeCell ref="C16:G16"/>
    <mergeCell ref="A17:B17"/>
    <mergeCell ref="C17:G17"/>
    <mergeCell ref="A18:B18"/>
    <mergeCell ref="C18:G18"/>
    <mergeCell ref="A19:B19"/>
    <mergeCell ref="C19:G19"/>
    <mergeCell ref="A20:B20"/>
    <mergeCell ref="C20:G20"/>
    <mergeCell ref="A21:B21"/>
    <mergeCell ref="C21:G21"/>
    <mergeCell ref="A23:G23"/>
    <mergeCell ref="A37:B37"/>
    <mergeCell ref="C37:G37"/>
    <mergeCell ref="A39:G39"/>
    <mergeCell ref="B40:C40"/>
    <mergeCell ref="D40:G40"/>
    <mergeCell ref="B41:C41"/>
    <mergeCell ref="D41:G41"/>
    <mergeCell ref="B42:C42"/>
    <mergeCell ref="D42:G42"/>
    <mergeCell ref="B43:C43"/>
    <mergeCell ref="D43:G43"/>
    <mergeCell ref="B44:C44"/>
    <mergeCell ref="D44:G44"/>
    <mergeCell ref="B45:C45"/>
    <mergeCell ref="D45:G45"/>
    <mergeCell ref="B46:C46"/>
    <mergeCell ref="D46:G46"/>
    <mergeCell ref="B47:C47"/>
    <mergeCell ref="D47:G47"/>
    <mergeCell ref="B48:C48"/>
    <mergeCell ref="D48:G48"/>
    <mergeCell ref="B49:C49"/>
    <mergeCell ref="D49:G49"/>
    <mergeCell ref="A50:B50"/>
    <mergeCell ref="C50:G50"/>
    <mergeCell ref="A51:B51"/>
    <mergeCell ref="C51:G51"/>
    <mergeCell ref="A52:B52"/>
    <mergeCell ref="C52:G52"/>
    <mergeCell ref="A53:B53"/>
    <mergeCell ref="C53:G53"/>
    <mergeCell ref="A54:B54"/>
    <mergeCell ref="C54:G54"/>
    <mergeCell ref="A56:G56"/>
    <mergeCell ref="A57:B57"/>
    <mergeCell ref="D57:G57"/>
    <mergeCell ref="A58:B58"/>
    <mergeCell ref="C58:G58"/>
    <mergeCell ref="A59:B59"/>
    <mergeCell ref="C59:G59"/>
    <mergeCell ref="A61:G61"/>
    <mergeCell ref="A62:B62"/>
    <mergeCell ref="C62:D62"/>
    <mergeCell ref="E62:F62"/>
    <mergeCell ref="A63:B63"/>
    <mergeCell ref="C63:D63"/>
    <mergeCell ref="E63:F63"/>
    <mergeCell ref="A64:B64"/>
    <mergeCell ref="C64:D64"/>
    <mergeCell ref="E64:F64"/>
    <mergeCell ref="A65:B65"/>
    <mergeCell ref="C65:D65"/>
    <mergeCell ref="E65:F65"/>
    <mergeCell ref="A67:B67"/>
    <mergeCell ref="C67:G67"/>
    <mergeCell ref="A69:G69"/>
    <mergeCell ref="A70:F70"/>
    <mergeCell ref="A71:F71"/>
    <mergeCell ref="A72:F72"/>
    <mergeCell ref="A73:F73"/>
  </mergeCells>
  <dataValidations count="5">
    <dataValidation allowBlank="true" errorStyle="stop" operator="between" showDropDown="false" showErrorMessage="false" showInputMessage="false" sqref="B41:B49" type="list">
      <formula1>"毎日使う,ときどき,使っていない"</formula1>
      <formula2>0</formula2>
    </dataValidation>
    <dataValidation allowBlank="true" errorStyle="stop" operator="between" showDropDown="false" showErrorMessage="false" showInputMessage="false" sqref="C57" type="whole">
      <formula1>0</formula1>
      <formula2>10</formula2>
    </dataValidation>
    <dataValidation allowBlank="true" errorStyle="stop" operator="between" showDropDown="false" showErrorMessage="false" showInputMessage="false" sqref="C59" type="list">
      <formula1>"とても困る,少し困る,困らない"</formula1>
      <formula2>0</formula2>
    </dataValidation>
    <dataValidation allowBlank="true" errorStyle="stop" operator="between" showDropDown="false" showErrorMessage="false" showInputMessage="false" sqref="C67" type="list">
      <formula1>"店名を出してよい,店名は出さずに,店名なし・写真もよい,使わないでほしい"</formula1>
      <formula2>0</formula2>
    </dataValidation>
    <dataValidation allowBlank="true" errorStyle="stop" operator="between" showDropDown="false" showErrorMessage="false" showInputMessage="false" sqref="G70:G73" type="list">
      <formula1>"まだ,済み"</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0"/>
    <col collapsed="false" customWidth="true" hidden="false" outlineLevel="0" max="4" min="3" style="0" width="14"/>
    <col collapsed="false" customWidth="true" hidden="false" outlineLevel="0" max="5" min="5" style="0" width="13"/>
    <col collapsed="false" customWidth="true" hidden="false" outlineLevel="0" max="6" min="6" style="0" width="12"/>
    <col collapsed="false" customWidth="true" hidden="false" outlineLevel="0" max="7" min="7" style="0" width="30"/>
  </cols>
  <sheetData>
    <row r="1" customFormat="false" ht="25.5" hidden="false" customHeight="true" outlineLevel="0" collapsed="false">
      <c r="A1" s="11" t="s">
        <v>0</v>
      </c>
      <c r="B1" s="11"/>
      <c r="C1" s="11"/>
      <c r="D1" s="11"/>
      <c r="E1" s="11"/>
      <c r="F1" s="11"/>
      <c r="G1" s="11"/>
    </row>
    <row r="2" customFormat="false" ht="30" hidden="false" customHeight="true" outlineLevel="0" collapsed="false">
      <c r="A2" s="12" t="s">
        <v>36</v>
      </c>
      <c r="B2" s="12"/>
      <c r="C2" s="12"/>
      <c r="D2" s="12"/>
      <c r="E2" s="12"/>
      <c r="F2" s="12"/>
      <c r="G2" s="12"/>
    </row>
    <row r="4" customFormat="false" ht="21.75" hidden="false" customHeight="true" outlineLevel="0" collapsed="false">
      <c r="A4" s="13" t="s">
        <v>37</v>
      </c>
      <c r="B4" s="13"/>
      <c r="C4" s="13"/>
      <c r="D4" s="13"/>
      <c r="E4" s="13"/>
      <c r="F4" s="13"/>
      <c r="G4" s="13"/>
    </row>
    <row r="5" customFormat="false" ht="15" hidden="false" customHeight="true" outlineLevel="0" collapsed="false">
      <c r="A5" s="14" t="s">
        <v>15</v>
      </c>
      <c r="B5" s="14"/>
      <c r="C5" s="15"/>
      <c r="D5" s="15"/>
      <c r="E5" s="15"/>
      <c r="F5" s="15"/>
      <c r="G5" s="15"/>
    </row>
    <row r="6" customFormat="false" ht="15" hidden="false" customHeight="true" outlineLevel="0" collapsed="false">
      <c r="A6" s="14" t="s">
        <v>13</v>
      </c>
      <c r="B6" s="14"/>
      <c r="C6" s="16"/>
      <c r="D6" s="16"/>
      <c r="E6" s="16"/>
      <c r="F6" s="16"/>
      <c r="G6" s="16"/>
    </row>
    <row r="7" customFormat="false" ht="15" hidden="false" customHeight="true" outlineLevel="0" collapsed="false">
      <c r="A7" s="14" t="s">
        <v>38</v>
      </c>
      <c r="B7" s="14"/>
      <c r="C7" s="16"/>
      <c r="D7" s="16"/>
      <c r="E7" s="16"/>
      <c r="F7" s="16"/>
      <c r="G7" s="16"/>
    </row>
    <row r="8" customFormat="false" ht="15" hidden="false" customHeight="true" outlineLevel="0" collapsed="false">
      <c r="A8" s="14" t="s">
        <v>39</v>
      </c>
      <c r="B8" s="14"/>
      <c r="C8" s="16"/>
      <c r="D8" s="16"/>
      <c r="E8" s="16"/>
      <c r="F8" s="16"/>
      <c r="G8" s="16"/>
    </row>
    <row r="9" customFormat="false" ht="15" hidden="false" customHeight="true" outlineLevel="0" collapsed="false">
      <c r="A9" s="14" t="s">
        <v>40</v>
      </c>
      <c r="B9" s="14"/>
      <c r="C9" s="15"/>
      <c r="D9" s="15"/>
      <c r="E9" s="15"/>
      <c r="F9" s="15"/>
      <c r="G9" s="15"/>
    </row>
    <row r="10" customFormat="false" ht="15" hidden="false" customHeight="true" outlineLevel="0" collapsed="false">
      <c r="A10" s="14" t="s">
        <v>16</v>
      </c>
      <c r="B10" s="14"/>
      <c r="C10" s="16"/>
      <c r="D10" s="16"/>
      <c r="E10" s="16"/>
      <c r="F10" s="16"/>
      <c r="G10" s="16"/>
    </row>
    <row r="11" customFormat="false" ht="15" hidden="false" customHeight="true" outlineLevel="0" collapsed="false">
      <c r="A11" s="14" t="s">
        <v>41</v>
      </c>
      <c r="B11" s="14"/>
      <c r="C11" s="16"/>
      <c r="D11" s="16"/>
      <c r="E11" s="16"/>
      <c r="F11" s="16"/>
      <c r="G11" s="16"/>
    </row>
    <row r="12" customFormat="false" ht="15" hidden="false" customHeight="true" outlineLevel="0" collapsed="false">
      <c r="A12" s="14" t="s">
        <v>42</v>
      </c>
      <c r="B12" s="14"/>
      <c r="C12" s="16"/>
      <c r="D12" s="16"/>
      <c r="E12" s="16"/>
      <c r="F12" s="16"/>
      <c r="G12" s="16"/>
    </row>
    <row r="13" customFormat="false" ht="15" hidden="false" customHeight="true" outlineLevel="0" collapsed="false">
      <c r="A13" s="14" t="s">
        <v>43</v>
      </c>
      <c r="B13" s="14"/>
      <c r="C13" s="16"/>
      <c r="D13" s="16"/>
      <c r="E13" s="16"/>
      <c r="F13" s="16"/>
      <c r="G13" s="16"/>
    </row>
    <row r="15" customFormat="false" ht="21.75" hidden="false" customHeight="true" outlineLevel="0" collapsed="false">
      <c r="A15" s="13" t="s">
        <v>44</v>
      </c>
      <c r="B15" s="13"/>
      <c r="C15" s="13"/>
      <c r="D15" s="13"/>
      <c r="E15" s="13"/>
      <c r="F15" s="13"/>
      <c r="G15" s="13"/>
    </row>
    <row r="16" customFormat="false" ht="33.75" hidden="false" customHeight="true" outlineLevel="0" collapsed="false">
      <c r="A16" s="14" t="s">
        <v>45</v>
      </c>
      <c r="B16" s="14"/>
      <c r="C16" s="16"/>
      <c r="D16" s="16"/>
      <c r="E16" s="16"/>
      <c r="F16" s="16"/>
      <c r="G16" s="16"/>
    </row>
    <row r="17" customFormat="false" ht="33.75" hidden="false" customHeight="true" outlineLevel="0" collapsed="false">
      <c r="A17" s="14" t="s">
        <v>46</v>
      </c>
      <c r="B17" s="14"/>
      <c r="C17" s="16"/>
      <c r="D17" s="16"/>
      <c r="E17" s="16"/>
      <c r="F17" s="16"/>
      <c r="G17" s="16"/>
    </row>
    <row r="18" customFormat="false" ht="33.75" hidden="false" customHeight="true" outlineLevel="0" collapsed="false">
      <c r="A18" s="14" t="s">
        <v>47</v>
      </c>
      <c r="B18" s="14"/>
      <c r="C18" s="16"/>
      <c r="D18" s="16"/>
      <c r="E18" s="16"/>
      <c r="F18" s="16"/>
      <c r="G18" s="16"/>
    </row>
    <row r="19" customFormat="false" ht="33.75" hidden="false" customHeight="true" outlineLevel="0" collapsed="false">
      <c r="A19" s="14" t="s">
        <v>48</v>
      </c>
      <c r="B19" s="14"/>
      <c r="C19" s="16"/>
      <c r="D19" s="16"/>
      <c r="E19" s="16"/>
      <c r="F19" s="16"/>
      <c r="G19" s="16"/>
    </row>
    <row r="20" customFormat="false" ht="33.75" hidden="false" customHeight="true" outlineLevel="0" collapsed="false">
      <c r="A20" s="14" t="s">
        <v>49</v>
      </c>
      <c r="B20" s="14"/>
      <c r="C20" s="16"/>
      <c r="D20" s="16"/>
      <c r="E20" s="16"/>
      <c r="F20" s="16"/>
      <c r="G20" s="16"/>
    </row>
    <row r="21" customFormat="false" ht="33.75" hidden="false" customHeight="true" outlineLevel="0" collapsed="false">
      <c r="A21" s="14" t="s">
        <v>50</v>
      </c>
      <c r="B21" s="14"/>
      <c r="C21" s="16"/>
      <c r="D21" s="16"/>
      <c r="E21" s="16"/>
      <c r="F21" s="16"/>
      <c r="G21" s="16"/>
    </row>
    <row r="23" customFormat="false" ht="21.75" hidden="false" customHeight="true" outlineLevel="0" collapsed="false">
      <c r="A23" s="13" t="s">
        <v>51</v>
      </c>
      <c r="B23" s="13"/>
      <c r="C23" s="13"/>
      <c r="D23" s="13"/>
      <c r="E23" s="13"/>
      <c r="F23" s="13"/>
      <c r="G23" s="13"/>
    </row>
    <row r="24" customFormat="false" ht="15" hidden="false" customHeight="false" outlineLevel="0" collapsed="false">
      <c r="A24" s="17" t="s">
        <v>52</v>
      </c>
      <c r="B24" s="17" t="s">
        <v>53</v>
      </c>
      <c r="C24" s="17" t="s">
        <v>54</v>
      </c>
      <c r="D24" s="17" t="s">
        <v>18</v>
      </c>
      <c r="E24" s="17" t="s">
        <v>55</v>
      </c>
      <c r="F24" s="17" t="s">
        <v>19</v>
      </c>
      <c r="G24" s="17" t="s">
        <v>56</v>
      </c>
    </row>
    <row r="25" customFormat="false" ht="15" hidden="false" customHeight="false" outlineLevel="0" collapsed="false">
      <c r="A25" s="18" t="s">
        <v>57</v>
      </c>
      <c r="B25" s="19" t="s">
        <v>58</v>
      </c>
      <c r="C25" s="20"/>
      <c r="D25" s="20"/>
      <c r="E25" s="21" t="str">
        <f aca="false">IF(OR(C25="",D25=""),"",C25-D25)</f>
        <v/>
      </c>
      <c r="F25" s="22" t="str">
        <f aca="false">IF(OR(C25="",D25="",N(C25)=0),"",(C25-D25)/C25)</f>
        <v/>
      </c>
      <c r="G25" s="16"/>
    </row>
    <row r="26" customFormat="false" ht="26.85" hidden="false" customHeight="false" outlineLevel="0" collapsed="false">
      <c r="A26" s="18" t="s">
        <v>59</v>
      </c>
      <c r="B26" s="19" t="s">
        <v>60</v>
      </c>
      <c r="C26" s="23"/>
      <c r="D26" s="23"/>
      <c r="E26" s="24" t="str">
        <f aca="false">IF(OR(C26="",D26=""),"",C26-D26)</f>
        <v/>
      </c>
      <c r="F26" s="22" t="str">
        <f aca="false">IF(OR(C26="",D26="",N(C26)=0),"",(C26-D26)/C26)</f>
        <v/>
      </c>
      <c r="G26" s="16"/>
    </row>
    <row r="27" customFormat="false" ht="15" hidden="false" customHeight="false" outlineLevel="0" collapsed="false">
      <c r="A27" s="18" t="s">
        <v>61</v>
      </c>
      <c r="B27" s="19" t="s">
        <v>60</v>
      </c>
      <c r="C27" s="23"/>
      <c r="D27" s="23"/>
      <c r="E27" s="24" t="str">
        <f aca="false">IF(OR(C27="",D27=""),"",C27-D27)</f>
        <v/>
      </c>
      <c r="F27" s="22" t="str">
        <f aca="false">IF(OR(C27="",D27="",N(C27)=0),"",(C27-D27)/C27)</f>
        <v/>
      </c>
      <c r="G27" s="16"/>
    </row>
    <row r="28" customFormat="false" ht="15" hidden="false" customHeight="false" outlineLevel="0" collapsed="false">
      <c r="A28" s="18" t="s">
        <v>62</v>
      </c>
      <c r="B28" s="19" t="s">
        <v>63</v>
      </c>
      <c r="C28" s="20"/>
      <c r="D28" s="20"/>
      <c r="E28" s="21" t="str">
        <f aca="false">IF(OR(C28="",D28=""),"",C28-D28)</f>
        <v/>
      </c>
      <c r="F28" s="22" t="str">
        <f aca="false">IF(OR(C28="",D28="",N(C28)=0),"",(C28-D28)/C28)</f>
        <v/>
      </c>
      <c r="G28" s="16"/>
    </row>
    <row r="29" customFormat="false" ht="15" hidden="false" customHeight="false" outlineLevel="0" collapsed="false">
      <c r="A29" s="18" t="s">
        <v>64</v>
      </c>
      <c r="B29" s="19" t="s">
        <v>63</v>
      </c>
      <c r="C29" s="20"/>
      <c r="D29" s="20"/>
      <c r="E29" s="21" t="str">
        <f aca="false">IF(OR(C29="",D29=""),"",C29-D29)</f>
        <v/>
      </c>
      <c r="F29" s="22" t="str">
        <f aca="false">IF(OR(C29="",D29="",N(C29)=0),"",(C29-D29)/C29)</f>
        <v/>
      </c>
      <c r="G29" s="16"/>
    </row>
    <row r="30" customFormat="false" ht="15" hidden="false" customHeight="false" outlineLevel="0" collapsed="false">
      <c r="A30" s="18" t="s">
        <v>65</v>
      </c>
      <c r="B30" s="19" t="s">
        <v>66</v>
      </c>
      <c r="C30" s="20"/>
      <c r="D30" s="20"/>
      <c r="E30" s="21" t="str">
        <f aca="false">IF(OR(C30="",D30=""),"",C30-D30)</f>
        <v/>
      </c>
      <c r="F30" s="22" t="str">
        <f aca="false">IF(OR(C30="",D30="",N(C30)=0),"",(C30-D30)/C30)</f>
        <v/>
      </c>
      <c r="G30" s="16"/>
    </row>
    <row r="31" customFormat="false" ht="15" hidden="false" customHeight="false" outlineLevel="0" collapsed="false">
      <c r="A31" s="18" t="s">
        <v>67</v>
      </c>
      <c r="B31" s="19" t="s">
        <v>68</v>
      </c>
      <c r="C31" s="20"/>
      <c r="D31" s="20"/>
      <c r="E31" s="21" t="str">
        <f aca="false">IF(OR(C31="",D31=""),"",C31-D31)</f>
        <v/>
      </c>
      <c r="F31" s="22" t="str">
        <f aca="false">IF(OR(C31="",D31="",N(C31)=0),"",(C31-D31)/C31)</f>
        <v/>
      </c>
      <c r="G31" s="16"/>
    </row>
    <row r="32" customFormat="false" ht="15" hidden="false" customHeight="false" outlineLevel="0" collapsed="false">
      <c r="A32" s="18" t="s">
        <v>69</v>
      </c>
      <c r="B32" s="19" t="s">
        <v>68</v>
      </c>
      <c r="C32" s="20"/>
      <c r="D32" s="20"/>
      <c r="E32" s="21" t="str">
        <f aca="false">IF(OR(C32="",D32=""),"",C32-D32)</f>
        <v/>
      </c>
      <c r="F32" s="22" t="str">
        <f aca="false">IF(OR(C32="",D32="",N(C32)=0),"",(C32-D32)/C32)</f>
        <v/>
      </c>
      <c r="G32" s="16"/>
    </row>
    <row r="33" customFormat="false" ht="26.85" hidden="false" customHeight="false" outlineLevel="0" collapsed="false">
      <c r="A33" s="18" t="s">
        <v>70</v>
      </c>
      <c r="B33" s="19" t="s">
        <v>71</v>
      </c>
      <c r="C33" s="20"/>
      <c r="D33" s="20"/>
      <c r="E33" s="21" t="str">
        <f aca="false">IF(OR(C33="",D33=""),"",C33-D33)</f>
        <v/>
      </c>
      <c r="F33" s="22" t="str">
        <f aca="false">IF(OR(C33="",D33="",N(C33)=0),"",(C33-D33)/C33)</f>
        <v/>
      </c>
      <c r="G33" s="16"/>
    </row>
    <row r="34" customFormat="false" ht="15" hidden="false" customHeight="false" outlineLevel="0" collapsed="false">
      <c r="A34" s="25" t="s">
        <v>72</v>
      </c>
      <c r="B34" s="19" t="s">
        <v>63</v>
      </c>
      <c r="C34" s="26" t="s">
        <v>73</v>
      </c>
      <c r="D34" s="20"/>
      <c r="E34" s="27"/>
      <c r="F34" s="27"/>
      <c r="G34" s="16"/>
    </row>
    <row r="35" customFormat="false" ht="15" hidden="false" customHeight="false" outlineLevel="0" collapsed="false">
      <c r="A35" s="25" t="s">
        <v>74</v>
      </c>
      <c r="B35" s="19" t="s">
        <v>68</v>
      </c>
      <c r="C35" s="26" t="s">
        <v>73</v>
      </c>
      <c r="D35" s="20"/>
      <c r="E35" s="27"/>
      <c r="F35" s="27"/>
      <c r="G35" s="16"/>
    </row>
    <row r="36" customFormat="false" ht="15" hidden="false" customHeight="false" outlineLevel="0" collapsed="false">
      <c r="A36" s="25" t="s">
        <v>75</v>
      </c>
      <c r="B36" s="19" t="s">
        <v>68</v>
      </c>
      <c r="C36" s="26" t="s">
        <v>73</v>
      </c>
      <c r="D36" s="20"/>
      <c r="E36" s="27"/>
      <c r="F36" s="27"/>
      <c r="G36" s="16"/>
    </row>
    <row r="37" customFormat="false" ht="33.75" hidden="false" customHeight="true" outlineLevel="0" collapsed="false">
      <c r="A37" s="17" t="s">
        <v>76</v>
      </c>
      <c r="B37" s="17"/>
      <c r="C37" s="16"/>
      <c r="D37" s="16"/>
      <c r="E37" s="16"/>
      <c r="F37" s="16"/>
      <c r="G37" s="16"/>
    </row>
    <row r="39" customFormat="false" ht="21.75" hidden="false" customHeight="true" outlineLevel="0" collapsed="false">
      <c r="A39" s="13" t="s">
        <v>77</v>
      </c>
      <c r="B39" s="13"/>
      <c r="C39" s="13"/>
      <c r="D39" s="13"/>
      <c r="E39" s="13"/>
      <c r="F39" s="13"/>
      <c r="G39" s="13"/>
    </row>
    <row r="40" customFormat="false" ht="15" hidden="false" customHeight="true" outlineLevel="0" collapsed="false">
      <c r="A40" s="17" t="s">
        <v>78</v>
      </c>
      <c r="B40" s="17" t="s">
        <v>79</v>
      </c>
      <c r="C40" s="17"/>
      <c r="D40" s="17" t="s">
        <v>80</v>
      </c>
      <c r="E40" s="17"/>
      <c r="F40" s="17"/>
      <c r="G40" s="17"/>
    </row>
    <row r="41" customFormat="false" ht="15" hidden="false" customHeight="false" outlineLevel="0" collapsed="false">
      <c r="A41" s="18" t="s">
        <v>81</v>
      </c>
      <c r="B41" s="16"/>
      <c r="C41" s="16"/>
      <c r="D41" s="16"/>
      <c r="E41" s="16"/>
      <c r="F41" s="16"/>
      <c r="G41" s="16"/>
    </row>
    <row r="42" customFormat="false" ht="26.85" hidden="false" customHeight="false" outlineLevel="0" collapsed="false">
      <c r="A42" s="18" t="s">
        <v>82</v>
      </c>
      <c r="B42" s="16"/>
      <c r="C42" s="16"/>
      <c r="D42" s="16"/>
      <c r="E42" s="16"/>
      <c r="F42" s="16"/>
      <c r="G42" s="16"/>
    </row>
    <row r="43" customFormat="false" ht="15" hidden="false" customHeight="false" outlineLevel="0" collapsed="false">
      <c r="A43" s="25" t="s">
        <v>83</v>
      </c>
      <c r="B43" s="16"/>
      <c r="C43" s="16"/>
      <c r="D43" s="16"/>
      <c r="E43" s="16"/>
      <c r="F43" s="16"/>
      <c r="G43" s="16"/>
    </row>
    <row r="44" customFormat="false" ht="15" hidden="false" customHeight="false" outlineLevel="0" collapsed="false">
      <c r="A44" s="18" t="s">
        <v>84</v>
      </c>
      <c r="B44" s="16"/>
      <c r="C44" s="16"/>
      <c r="D44" s="16"/>
      <c r="E44" s="16"/>
      <c r="F44" s="16"/>
      <c r="G44" s="16"/>
    </row>
    <row r="45" customFormat="false" ht="15" hidden="false" customHeight="false" outlineLevel="0" collapsed="false">
      <c r="A45" s="18" t="s">
        <v>85</v>
      </c>
      <c r="B45" s="16"/>
      <c r="C45" s="16"/>
      <c r="D45" s="16"/>
      <c r="E45" s="16"/>
      <c r="F45" s="16"/>
      <c r="G45" s="16"/>
    </row>
    <row r="46" customFormat="false" ht="15" hidden="false" customHeight="false" outlineLevel="0" collapsed="false">
      <c r="A46" s="18" t="s">
        <v>86</v>
      </c>
      <c r="B46" s="16"/>
      <c r="C46" s="16"/>
      <c r="D46" s="16"/>
      <c r="E46" s="16"/>
      <c r="F46" s="16"/>
      <c r="G46" s="16"/>
    </row>
    <row r="47" customFormat="false" ht="15" hidden="false" customHeight="false" outlineLevel="0" collapsed="false">
      <c r="A47" s="18" t="s">
        <v>87</v>
      </c>
      <c r="B47" s="16"/>
      <c r="C47" s="16"/>
      <c r="D47" s="16"/>
      <c r="E47" s="16"/>
      <c r="F47" s="16"/>
      <c r="G47" s="16"/>
    </row>
    <row r="48" customFormat="false" ht="15" hidden="false" customHeight="false" outlineLevel="0" collapsed="false">
      <c r="A48" s="18" t="s">
        <v>88</v>
      </c>
      <c r="B48" s="16"/>
      <c r="C48" s="16"/>
      <c r="D48" s="16"/>
      <c r="E48" s="16"/>
      <c r="F48" s="16"/>
      <c r="G48" s="16"/>
    </row>
    <row r="49" customFormat="false" ht="15" hidden="false" customHeight="false" outlineLevel="0" collapsed="false">
      <c r="A49" s="25" t="s">
        <v>89</v>
      </c>
      <c r="B49" s="16"/>
      <c r="C49" s="16"/>
      <c r="D49" s="16"/>
      <c r="E49" s="16"/>
      <c r="F49" s="16"/>
      <c r="G49" s="16"/>
    </row>
    <row r="50" customFormat="false" ht="33.75" hidden="false" customHeight="true" outlineLevel="0" collapsed="false">
      <c r="A50" s="14" t="s">
        <v>90</v>
      </c>
      <c r="B50" s="14"/>
      <c r="C50" s="16"/>
      <c r="D50" s="16"/>
      <c r="E50" s="16"/>
      <c r="F50" s="16"/>
      <c r="G50" s="16"/>
    </row>
    <row r="51" customFormat="false" ht="33.75" hidden="false" customHeight="true" outlineLevel="0" collapsed="false">
      <c r="A51" s="14" t="s">
        <v>91</v>
      </c>
      <c r="B51" s="14"/>
      <c r="C51" s="16"/>
      <c r="D51" s="16"/>
      <c r="E51" s="16"/>
      <c r="F51" s="16"/>
      <c r="G51" s="16"/>
    </row>
    <row r="52" customFormat="false" ht="33.75" hidden="false" customHeight="true" outlineLevel="0" collapsed="false">
      <c r="A52" s="14" t="s">
        <v>92</v>
      </c>
      <c r="B52" s="14"/>
      <c r="C52" s="16"/>
      <c r="D52" s="16"/>
      <c r="E52" s="16"/>
      <c r="F52" s="16"/>
      <c r="G52" s="16"/>
    </row>
    <row r="53" customFormat="false" ht="33.75" hidden="false" customHeight="true" outlineLevel="0" collapsed="false">
      <c r="A53" s="14" t="s">
        <v>93</v>
      </c>
      <c r="B53" s="14"/>
      <c r="C53" s="16"/>
      <c r="D53" s="16"/>
      <c r="E53" s="16"/>
      <c r="F53" s="16"/>
      <c r="G53" s="16"/>
    </row>
    <row r="54" customFormat="false" ht="33.75" hidden="false" customHeight="true" outlineLevel="0" collapsed="false">
      <c r="A54" s="14" t="s">
        <v>94</v>
      </c>
      <c r="B54" s="14"/>
      <c r="C54" s="16"/>
      <c r="D54" s="16"/>
      <c r="E54" s="16"/>
      <c r="F54" s="16"/>
      <c r="G54" s="16"/>
    </row>
    <row r="56" customFormat="false" ht="21.75" hidden="false" customHeight="true" outlineLevel="0" collapsed="false">
      <c r="A56" s="13" t="s">
        <v>95</v>
      </c>
      <c r="B56" s="13"/>
      <c r="C56" s="13"/>
      <c r="D56" s="13"/>
      <c r="E56" s="13"/>
      <c r="F56" s="13"/>
      <c r="G56" s="13"/>
    </row>
    <row r="57" customFormat="false" ht="15" hidden="false" customHeight="true" outlineLevel="0" collapsed="false">
      <c r="A57" s="14" t="s">
        <v>96</v>
      </c>
      <c r="B57" s="14"/>
      <c r="C57" s="28"/>
      <c r="D57" s="29" t="str">
        <f aca="false">IF(C57="","",IF(C57&gt;=9,"→ このまま紹介をお願いする",IF(C57&gt;=7,"→ 困りごとを聞いてから、紹介をお願いする","→ 紹介はお願いせず、困りごとを先に直す")))</f>
        <v/>
      </c>
      <c r="E57" s="29"/>
      <c r="F57" s="29"/>
      <c r="G57" s="29"/>
    </row>
    <row r="58" customFormat="false" ht="30" hidden="false" customHeight="true" outlineLevel="0" collapsed="false">
      <c r="A58" s="14" t="s">
        <v>97</v>
      </c>
      <c r="B58" s="14"/>
      <c r="C58" s="16"/>
      <c r="D58" s="16"/>
      <c r="E58" s="16"/>
      <c r="F58" s="16"/>
      <c r="G58" s="16"/>
    </row>
    <row r="59" customFormat="false" ht="15" hidden="false" customHeight="true" outlineLevel="0" collapsed="false">
      <c r="A59" s="14" t="s">
        <v>98</v>
      </c>
      <c r="B59" s="14"/>
      <c r="C59" s="16"/>
      <c r="D59" s="16"/>
      <c r="E59" s="16"/>
      <c r="F59" s="16"/>
      <c r="G59" s="16"/>
    </row>
    <row r="61" customFormat="false" ht="43.5" hidden="false" customHeight="true" outlineLevel="0" collapsed="false">
      <c r="A61" s="12" t="s">
        <v>99</v>
      </c>
      <c r="B61" s="12"/>
      <c r="C61" s="12"/>
      <c r="D61" s="12"/>
      <c r="E61" s="12"/>
      <c r="F61" s="12"/>
      <c r="G61" s="12"/>
    </row>
    <row r="62" customFormat="false" ht="15" hidden="false" customHeight="true" outlineLevel="0" collapsed="false">
      <c r="A62" s="17" t="s">
        <v>100</v>
      </c>
      <c r="B62" s="17"/>
      <c r="C62" s="17" t="s">
        <v>101</v>
      </c>
      <c r="D62" s="17"/>
      <c r="E62" s="17" t="s">
        <v>102</v>
      </c>
      <c r="F62" s="17"/>
      <c r="G62" s="17" t="s">
        <v>103</v>
      </c>
    </row>
    <row r="63" customFormat="false" ht="15" hidden="false" customHeight="false" outlineLevel="0" collapsed="false">
      <c r="A63" s="16"/>
      <c r="B63" s="16"/>
      <c r="C63" s="16"/>
      <c r="D63" s="16"/>
      <c r="E63" s="16"/>
      <c r="F63" s="16"/>
      <c r="G63" s="15"/>
    </row>
    <row r="64" customFormat="false" ht="15" hidden="false" customHeight="false" outlineLevel="0" collapsed="false">
      <c r="A64" s="16"/>
      <c r="B64" s="16"/>
      <c r="C64" s="16"/>
      <c r="D64" s="16"/>
      <c r="E64" s="16"/>
      <c r="F64" s="16"/>
      <c r="G64" s="15"/>
    </row>
    <row r="65" customFormat="false" ht="15" hidden="false" customHeight="false" outlineLevel="0" collapsed="false">
      <c r="A65" s="16"/>
      <c r="B65" s="16"/>
      <c r="C65" s="16"/>
      <c r="D65" s="16"/>
      <c r="E65" s="16"/>
      <c r="F65" s="16"/>
      <c r="G65" s="15"/>
    </row>
    <row r="67" customFormat="false" ht="26.85" hidden="false" customHeight="true" outlineLevel="0" collapsed="false">
      <c r="A67" s="14" t="s">
        <v>104</v>
      </c>
      <c r="B67" s="14"/>
      <c r="C67" s="16"/>
      <c r="D67" s="16"/>
      <c r="E67" s="16"/>
      <c r="F67" s="16"/>
      <c r="G67" s="16"/>
    </row>
    <row r="69" customFormat="false" ht="21.75" hidden="false" customHeight="true" outlineLevel="0" collapsed="false">
      <c r="A69" s="30" t="s">
        <v>105</v>
      </c>
      <c r="B69" s="30"/>
      <c r="C69" s="30"/>
      <c r="D69" s="30"/>
      <c r="E69" s="30"/>
      <c r="F69" s="30"/>
      <c r="G69" s="30"/>
    </row>
    <row r="70" customFormat="false" ht="15" hidden="false" customHeight="true" outlineLevel="0" collapsed="false">
      <c r="A70" s="18" t="s">
        <v>106</v>
      </c>
      <c r="B70" s="18"/>
      <c r="C70" s="18"/>
      <c r="D70" s="18"/>
      <c r="E70" s="18"/>
      <c r="F70" s="18"/>
      <c r="G70" s="31" t="s">
        <v>107</v>
      </c>
    </row>
    <row r="71" customFormat="false" ht="15" hidden="false" customHeight="true" outlineLevel="0" collapsed="false">
      <c r="A71" s="18" t="s">
        <v>108</v>
      </c>
      <c r="B71" s="18"/>
      <c r="C71" s="18"/>
      <c r="D71" s="18"/>
      <c r="E71" s="18"/>
      <c r="F71" s="18"/>
      <c r="G71" s="31" t="s">
        <v>107</v>
      </c>
    </row>
    <row r="72" customFormat="false" ht="15" hidden="false" customHeight="true" outlineLevel="0" collapsed="false">
      <c r="A72" s="18" t="s">
        <v>109</v>
      </c>
      <c r="B72" s="18"/>
      <c r="C72" s="18"/>
      <c r="D72" s="18"/>
      <c r="E72" s="18"/>
      <c r="F72" s="18"/>
      <c r="G72" s="31" t="s">
        <v>107</v>
      </c>
    </row>
    <row r="73" customFormat="false" ht="15" hidden="false" customHeight="true" outlineLevel="0" collapsed="false">
      <c r="A73" s="18" t="s">
        <v>110</v>
      </c>
      <c r="B73" s="18"/>
      <c r="C73" s="18"/>
      <c r="D73" s="18"/>
      <c r="E73" s="18"/>
      <c r="F73" s="18"/>
      <c r="G73" s="31" t="s">
        <v>107</v>
      </c>
    </row>
  </sheetData>
  <mergeCells count="95">
    <mergeCell ref="A1:G1"/>
    <mergeCell ref="A2:G2"/>
    <mergeCell ref="A4:G4"/>
    <mergeCell ref="A5:B5"/>
    <mergeCell ref="C5:G5"/>
    <mergeCell ref="A6:B6"/>
    <mergeCell ref="C6:G6"/>
    <mergeCell ref="A7:B7"/>
    <mergeCell ref="C7:G7"/>
    <mergeCell ref="A8:B8"/>
    <mergeCell ref="C8:G8"/>
    <mergeCell ref="A9:B9"/>
    <mergeCell ref="C9:G9"/>
    <mergeCell ref="A10:B10"/>
    <mergeCell ref="C10:G10"/>
    <mergeCell ref="A11:B11"/>
    <mergeCell ref="C11:G11"/>
    <mergeCell ref="A12:B12"/>
    <mergeCell ref="C12:G12"/>
    <mergeCell ref="A13:B13"/>
    <mergeCell ref="C13:G13"/>
    <mergeCell ref="A15:G15"/>
    <mergeCell ref="A16:B16"/>
    <mergeCell ref="C16:G16"/>
    <mergeCell ref="A17:B17"/>
    <mergeCell ref="C17:G17"/>
    <mergeCell ref="A18:B18"/>
    <mergeCell ref="C18:G18"/>
    <mergeCell ref="A19:B19"/>
    <mergeCell ref="C19:G19"/>
    <mergeCell ref="A20:B20"/>
    <mergeCell ref="C20:G20"/>
    <mergeCell ref="A21:B21"/>
    <mergeCell ref="C21:G21"/>
    <mergeCell ref="A23:G23"/>
    <mergeCell ref="A37:B37"/>
    <mergeCell ref="C37:G37"/>
    <mergeCell ref="A39:G39"/>
    <mergeCell ref="B40:C40"/>
    <mergeCell ref="D40:G40"/>
    <mergeCell ref="B41:C41"/>
    <mergeCell ref="D41:G41"/>
    <mergeCell ref="B42:C42"/>
    <mergeCell ref="D42:G42"/>
    <mergeCell ref="B43:C43"/>
    <mergeCell ref="D43:G43"/>
    <mergeCell ref="B44:C44"/>
    <mergeCell ref="D44:G44"/>
    <mergeCell ref="B45:C45"/>
    <mergeCell ref="D45:G45"/>
    <mergeCell ref="B46:C46"/>
    <mergeCell ref="D46:G46"/>
    <mergeCell ref="B47:C47"/>
    <mergeCell ref="D47:G47"/>
    <mergeCell ref="B48:C48"/>
    <mergeCell ref="D48:G48"/>
    <mergeCell ref="B49:C49"/>
    <mergeCell ref="D49:G49"/>
    <mergeCell ref="A50:B50"/>
    <mergeCell ref="C50:G50"/>
    <mergeCell ref="A51:B51"/>
    <mergeCell ref="C51:G51"/>
    <mergeCell ref="A52:B52"/>
    <mergeCell ref="C52:G52"/>
    <mergeCell ref="A53:B53"/>
    <mergeCell ref="C53:G53"/>
    <mergeCell ref="A54:B54"/>
    <mergeCell ref="C54:G54"/>
    <mergeCell ref="A56:G56"/>
    <mergeCell ref="A57:B57"/>
    <mergeCell ref="D57:G57"/>
    <mergeCell ref="A58:B58"/>
    <mergeCell ref="C58:G58"/>
    <mergeCell ref="A59:B59"/>
    <mergeCell ref="C59:G59"/>
    <mergeCell ref="A61:G61"/>
    <mergeCell ref="A62:B62"/>
    <mergeCell ref="C62:D62"/>
    <mergeCell ref="E62:F62"/>
    <mergeCell ref="A63:B63"/>
    <mergeCell ref="C63:D63"/>
    <mergeCell ref="E63:F63"/>
    <mergeCell ref="A64:B64"/>
    <mergeCell ref="C64:D64"/>
    <mergeCell ref="E64:F64"/>
    <mergeCell ref="A65:B65"/>
    <mergeCell ref="C65:D65"/>
    <mergeCell ref="E65:F65"/>
    <mergeCell ref="A67:B67"/>
    <mergeCell ref="C67:G67"/>
    <mergeCell ref="A69:G69"/>
    <mergeCell ref="A70:F70"/>
    <mergeCell ref="A71:F71"/>
    <mergeCell ref="A72:F72"/>
    <mergeCell ref="A73:F73"/>
  </mergeCells>
  <dataValidations count="5">
    <dataValidation allowBlank="true" errorStyle="stop" operator="between" showDropDown="false" showErrorMessage="false" showInputMessage="false" sqref="B41:B49" type="list">
      <formula1>"毎日使う,ときどき,使っていない"</formula1>
      <formula2>0</formula2>
    </dataValidation>
    <dataValidation allowBlank="true" errorStyle="stop" operator="between" showDropDown="false" showErrorMessage="false" showInputMessage="false" sqref="C57" type="whole">
      <formula1>0</formula1>
      <formula2>10</formula2>
    </dataValidation>
    <dataValidation allowBlank="true" errorStyle="stop" operator="between" showDropDown="false" showErrorMessage="false" showInputMessage="false" sqref="C59" type="list">
      <formula1>"とても困る,少し困る,困らない"</formula1>
      <formula2>0</formula2>
    </dataValidation>
    <dataValidation allowBlank="true" errorStyle="stop" operator="between" showDropDown="false" showErrorMessage="false" showInputMessage="false" sqref="C67" type="list">
      <formula1>"店名を出してよい,店名は出さずに,店名なし・写真もよい,使わないでほしい"</formula1>
      <formula2>0</formula2>
    </dataValidation>
    <dataValidation allowBlank="true" errorStyle="stop" operator="between" showDropDown="false" showErrorMessage="false" showInputMessage="false" sqref="G70:G73" type="list">
      <formula1>"まだ,済み"</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0"/>
    <col collapsed="false" customWidth="true" hidden="false" outlineLevel="0" max="4" min="3" style="0" width="14"/>
    <col collapsed="false" customWidth="true" hidden="false" outlineLevel="0" max="5" min="5" style="0" width="13"/>
    <col collapsed="false" customWidth="true" hidden="false" outlineLevel="0" max="6" min="6" style="0" width="12"/>
    <col collapsed="false" customWidth="true" hidden="false" outlineLevel="0" max="7" min="7" style="0" width="30"/>
  </cols>
  <sheetData>
    <row r="1" customFormat="false" ht="25.5" hidden="false" customHeight="true" outlineLevel="0" collapsed="false">
      <c r="A1" s="11" t="s">
        <v>0</v>
      </c>
      <c r="B1" s="11"/>
      <c r="C1" s="11"/>
      <c r="D1" s="11"/>
      <c r="E1" s="11"/>
      <c r="F1" s="11"/>
      <c r="G1" s="11"/>
    </row>
    <row r="2" customFormat="false" ht="30" hidden="false" customHeight="true" outlineLevel="0" collapsed="false">
      <c r="A2" s="12" t="s">
        <v>36</v>
      </c>
      <c r="B2" s="12"/>
      <c r="C2" s="12"/>
      <c r="D2" s="12"/>
      <c r="E2" s="12"/>
      <c r="F2" s="12"/>
      <c r="G2" s="12"/>
    </row>
    <row r="4" customFormat="false" ht="21.75" hidden="false" customHeight="true" outlineLevel="0" collapsed="false">
      <c r="A4" s="13" t="s">
        <v>37</v>
      </c>
      <c r="B4" s="13"/>
      <c r="C4" s="13"/>
      <c r="D4" s="13"/>
      <c r="E4" s="13"/>
      <c r="F4" s="13"/>
      <c r="G4" s="13"/>
    </row>
    <row r="5" customFormat="false" ht="15" hidden="false" customHeight="true" outlineLevel="0" collapsed="false">
      <c r="A5" s="14" t="s">
        <v>15</v>
      </c>
      <c r="B5" s="14"/>
      <c r="C5" s="15"/>
      <c r="D5" s="15"/>
      <c r="E5" s="15"/>
      <c r="F5" s="15"/>
      <c r="G5" s="15"/>
    </row>
    <row r="6" customFormat="false" ht="15" hidden="false" customHeight="true" outlineLevel="0" collapsed="false">
      <c r="A6" s="14" t="s">
        <v>13</v>
      </c>
      <c r="B6" s="14"/>
      <c r="C6" s="16"/>
      <c r="D6" s="16"/>
      <c r="E6" s="16"/>
      <c r="F6" s="16"/>
      <c r="G6" s="16"/>
    </row>
    <row r="7" customFormat="false" ht="15" hidden="false" customHeight="true" outlineLevel="0" collapsed="false">
      <c r="A7" s="14" t="s">
        <v>38</v>
      </c>
      <c r="B7" s="14"/>
      <c r="C7" s="16"/>
      <c r="D7" s="16"/>
      <c r="E7" s="16"/>
      <c r="F7" s="16"/>
      <c r="G7" s="16"/>
    </row>
    <row r="8" customFormat="false" ht="15" hidden="false" customHeight="true" outlineLevel="0" collapsed="false">
      <c r="A8" s="14" t="s">
        <v>39</v>
      </c>
      <c r="B8" s="14"/>
      <c r="C8" s="16"/>
      <c r="D8" s="16"/>
      <c r="E8" s="16"/>
      <c r="F8" s="16"/>
      <c r="G8" s="16"/>
    </row>
    <row r="9" customFormat="false" ht="15" hidden="false" customHeight="true" outlineLevel="0" collapsed="false">
      <c r="A9" s="14" t="s">
        <v>40</v>
      </c>
      <c r="B9" s="14"/>
      <c r="C9" s="15"/>
      <c r="D9" s="15"/>
      <c r="E9" s="15"/>
      <c r="F9" s="15"/>
      <c r="G9" s="15"/>
    </row>
    <row r="10" customFormat="false" ht="15" hidden="false" customHeight="true" outlineLevel="0" collapsed="false">
      <c r="A10" s="14" t="s">
        <v>16</v>
      </c>
      <c r="B10" s="14"/>
      <c r="C10" s="16"/>
      <c r="D10" s="16"/>
      <c r="E10" s="16"/>
      <c r="F10" s="16"/>
      <c r="G10" s="16"/>
    </row>
    <row r="11" customFormat="false" ht="15" hidden="false" customHeight="true" outlineLevel="0" collapsed="false">
      <c r="A11" s="14" t="s">
        <v>41</v>
      </c>
      <c r="B11" s="14"/>
      <c r="C11" s="16"/>
      <c r="D11" s="16"/>
      <c r="E11" s="16"/>
      <c r="F11" s="16"/>
      <c r="G11" s="16"/>
    </row>
    <row r="12" customFormat="false" ht="15" hidden="false" customHeight="true" outlineLevel="0" collapsed="false">
      <c r="A12" s="14" t="s">
        <v>42</v>
      </c>
      <c r="B12" s="14"/>
      <c r="C12" s="16"/>
      <c r="D12" s="16"/>
      <c r="E12" s="16"/>
      <c r="F12" s="16"/>
      <c r="G12" s="16"/>
    </row>
    <row r="13" customFormat="false" ht="15" hidden="false" customHeight="true" outlineLevel="0" collapsed="false">
      <c r="A13" s="14" t="s">
        <v>43</v>
      </c>
      <c r="B13" s="14"/>
      <c r="C13" s="16"/>
      <c r="D13" s="16"/>
      <c r="E13" s="16"/>
      <c r="F13" s="16"/>
      <c r="G13" s="16"/>
    </row>
    <row r="15" customFormat="false" ht="21.75" hidden="false" customHeight="true" outlineLevel="0" collapsed="false">
      <c r="A15" s="13" t="s">
        <v>44</v>
      </c>
      <c r="B15" s="13"/>
      <c r="C15" s="13"/>
      <c r="D15" s="13"/>
      <c r="E15" s="13"/>
      <c r="F15" s="13"/>
      <c r="G15" s="13"/>
    </row>
    <row r="16" customFormat="false" ht="33.75" hidden="false" customHeight="true" outlineLevel="0" collapsed="false">
      <c r="A16" s="14" t="s">
        <v>45</v>
      </c>
      <c r="B16" s="14"/>
      <c r="C16" s="16"/>
      <c r="D16" s="16"/>
      <c r="E16" s="16"/>
      <c r="F16" s="16"/>
      <c r="G16" s="16"/>
    </row>
    <row r="17" customFormat="false" ht="33.75" hidden="false" customHeight="true" outlineLevel="0" collapsed="false">
      <c r="A17" s="14" t="s">
        <v>46</v>
      </c>
      <c r="B17" s="14"/>
      <c r="C17" s="16"/>
      <c r="D17" s="16"/>
      <c r="E17" s="16"/>
      <c r="F17" s="16"/>
      <c r="G17" s="16"/>
    </row>
    <row r="18" customFormat="false" ht="33.75" hidden="false" customHeight="true" outlineLevel="0" collapsed="false">
      <c r="A18" s="14" t="s">
        <v>47</v>
      </c>
      <c r="B18" s="14"/>
      <c r="C18" s="16"/>
      <c r="D18" s="16"/>
      <c r="E18" s="16"/>
      <c r="F18" s="16"/>
      <c r="G18" s="16"/>
    </row>
    <row r="19" customFormat="false" ht="33.75" hidden="false" customHeight="true" outlineLevel="0" collapsed="false">
      <c r="A19" s="14" t="s">
        <v>48</v>
      </c>
      <c r="B19" s="14"/>
      <c r="C19" s="16"/>
      <c r="D19" s="16"/>
      <c r="E19" s="16"/>
      <c r="F19" s="16"/>
      <c r="G19" s="16"/>
    </row>
    <row r="20" customFormat="false" ht="33.75" hidden="false" customHeight="true" outlineLevel="0" collapsed="false">
      <c r="A20" s="14" t="s">
        <v>49</v>
      </c>
      <c r="B20" s="14"/>
      <c r="C20" s="16"/>
      <c r="D20" s="16"/>
      <c r="E20" s="16"/>
      <c r="F20" s="16"/>
      <c r="G20" s="16"/>
    </row>
    <row r="21" customFormat="false" ht="33.75" hidden="false" customHeight="true" outlineLevel="0" collapsed="false">
      <c r="A21" s="14" t="s">
        <v>50</v>
      </c>
      <c r="B21" s="14"/>
      <c r="C21" s="16"/>
      <c r="D21" s="16"/>
      <c r="E21" s="16"/>
      <c r="F21" s="16"/>
      <c r="G21" s="16"/>
    </row>
    <row r="23" customFormat="false" ht="21.75" hidden="false" customHeight="true" outlineLevel="0" collapsed="false">
      <c r="A23" s="13" t="s">
        <v>51</v>
      </c>
      <c r="B23" s="13"/>
      <c r="C23" s="13"/>
      <c r="D23" s="13"/>
      <c r="E23" s="13"/>
      <c r="F23" s="13"/>
      <c r="G23" s="13"/>
    </row>
    <row r="24" customFormat="false" ht="15" hidden="false" customHeight="false" outlineLevel="0" collapsed="false">
      <c r="A24" s="17" t="s">
        <v>52</v>
      </c>
      <c r="B24" s="17" t="s">
        <v>53</v>
      </c>
      <c r="C24" s="17" t="s">
        <v>54</v>
      </c>
      <c r="D24" s="17" t="s">
        <v>18</v>
      </c>
      <c r="E24" s="17" t="s">
        <v>55</v>
      </c>
      <c r="F24" s="17" t="s">
        <v>19</v>
      </c>
      <c r="G24" s="17" t="s">
        <v>56</v>
      </c>
    </row>
    <row r="25" customFormat="false" ht="15" hidden="false" customHeight="false" outlineLevel="0" collapsed="false">
      <c r="A25" s="18" t="s">
        <v>57</v>
      </c>
      <c r="B25" s="19" t="s">
        <v>58</v>
      </c>
      <c r="C25" s="20"/>
      <c r="D25" s="20"/>
      <c r="E25" s="21" t="str">
        <f aca="false">IF(OR(C25="",D25=""),"",C25-D25)</f>
        <v/>
      </c>
      <c r="F25" s="22" t="str">
        <f aca="false">IF(OR(C25="",D25="",N(C25)=0),"",(C25-D25)/C25)</f>
        <v/>
      </c>
      <c r="G25" s="16"/>
    </row>
    <row r="26" customFormat="false" ht="26.85" hidden="false" customHeight="false" outlineLevel="0" collapsed="false">
      <c r="A26" s="18" t="s">
        <v>59</v>
      </c>
      <c r="B26" s="19" t="s">
        <v>60</v>
      </c>
      <c r="C26" s="23"/>
      <c r="D26" s="23"/>
      <c r="E26" s="24" t="str">
        <f aca="false">IF(OR(C26="",D26=""),"",C26-D26)</f>
        <v/>
      </c>
      <c r="F26" s="22" t="str">
        <f aca="false">IF(OR(C26="",D26="",N(C26)=0),"",(C26-D26)/C26)</f>
        <v/>
      </c>
      <c r="G26" s="16"/>
    </row>
    <row r="27" customFormat="false" ht="15" hidden="false" customHeight="false" outlineLevel="0" collapsed="false">
      <c r="A27" s="18" t="s">
        <v>61</v>
      </c>
      <c r="B27" s="19" t="s">
        <v>60</v>
      </c>
      <c r="C27" s="23"/>
      <c r="D27" s="23"/>
      <c r="E27" s="24" t="str">
        <f aca="false">IF(OR(C27="",D27=""),"",C27-D27)</f>
        <v/>
      </c>
      <c r="F27" s="22" t="str">
        <f aca="false">IF(OR(C27="",D27="",N(C27)=0),"",(C27-D27)/C27)</f>
        <v/>
      </c>
      <c r="G27" s="16"/>
    </row>
    <row r="28" customFormat="false" ht="15" hidden="false" customHeight="false" outlineLevel="0" collapsed="false">
      <c r="A28" s="18" t="s">
        <v>62</v>
      </c>
      <c r="B28" s="19" t="s">
        <v>63</v>
      </c>
      <c r="C28" s="20"/>
      <c r="D28" s="20"/>
      <c r="E28" s="21" t="str">
        <f aca="false">IF(OR(C28="",D28=""),"",C28-D28)</f>
        <v/>
      </c>
      <c r="F28" s="22" t="str">
        <f aca="false">IF(OR(C28="",D28="",N(C28)=0),"",(C28-D28)/C28)</f>
        <v/>
      </c>
      <c r="G28" s="16"/>
    </row>
    <row r="29" customFormat="false" ht="15" hidden="false" customHeight="false" outlineLevel="0" collapsed="false">
      <c r="A29" s="18" t="s">
        <v>64</v>
      </c>
      <c r="B29" s="19" t="s">
        <v>63</v>
      </c>
      <c r="C29" s="20"/>
      <c r="D29" s="20"/>
      <c r="E29" s="21" t="str">
        <f aca="false">IF(OR(C29="",D29=""),"",C29-D29)</f>
        <v/>
      </c>
      <c r="F29" s="22" t="str">
        <f aca="false">IF(OR(C29="",D29="",N(C29)=0),"",(C29-D29)/C29)</f>
        <v/>
      </c>
      <c r="G29" s="16"/>
    </row>
    <row r="30" customFormat="false" ht="15" hidden="false" customHeight="false" outlineLevel="0" collapsed="false">
      <c r="A30" s="18" t="s">
        <v>65</v>
      </c>
      <c r="B30" s="19" t="s">
        <v>66</v>
      </c>
      <c r="C30" s="20"/>
      <c r="D30" s="20"/>
      <c r="E30" s="21" t="str">
        <f aca="false">IF(OR(C30="",D30=""),"",C30-D30)</f>
        <v/>
      </c>
      <c r="F30" s="22" t="str">
        <f aca="false">IF(OR(C30="",D30="",N(C30)=0),"",(C30-D30)/C30)</f>
        <v/>
      </c>
      <c r="G30" s="16"/>
    </row>
    <row r="31" customFormat="false" ht="15" hidden="false" customHeight="false" outlineLevel="0" collapsed="false">
      <c r="A31" s="18" t="s">
        <v>67</v>
      </c>
      <c r="B31" s="19" t="s">
        <v>68</v>
      </c>
      <c r="C31" s="20"/>
      <c r="D31" s="20"/>
      <c r="E31" s="21" t="str">
        <f aca="false">IF(OR(C31="",D31=""),"",C31-D31)</f>
        <v/>
      </c>
      <c r="F31" s="22" t="str">
        <f aca="false">IF(OR(C31="",D31="",N(C31)=0),"",(C31-D31)/C31)</f>
        <v/>
      </c>
      <c r="G31" s="16"/>
    </row>
    <row r="32" customFormat="false" ht="15" hidden="false" customHeight="false" outlineLevel="0" collapsed="false">
      <c r="A32" s="18" t="s">
        <v>69</v>
      </c>
      <c r="B32" s="19" t="s">
        <v>68</v>
      </c>
      <c r="C32" s="20"/>
      <c r="D32" s="20"/>
      <c r="E32" s="21" t="str">
        <f aca="false">IF(OR(C32="",D32=""),"",C32-D32)</f>
        <v/>
      </c>
      <c r="F32" s="22" t="str">
        <f aca="false">IF(OR(C32="",D32="",N(C32)=0),"",(C32-D32)/C32)</f>
        <v/>
      </c>
      <c r="G32" s="16"/>
    </row>
    <row r="33" customFormat="false" ht="26.85" hidden="false" customHeight="false" outlineLevel="0" collapsed="false">
      <c r="A33" s="18" t="s">
        <v>70</v>
      </c>
      <c r="B33" s="19" t="s">
        <v>71</v>
      </c>
      <c r="C33" s="20"/>
      <c r="D33" s="20"/>
      <c r="E33" s="21" t="str">
        <f aca="false">IF(OR(C33="",D33=""),"",C33-D33)</f>
        <v/>
      </c>
      <c r="F33" s="22" t="str">
        <f aca="false">IF(OR(C33="",D33="",N(C33)=0),"",(C33-D33)/C33)</f>
        <v/>
      </c>
      <c r="G33" s="16"/>
    </row>
    <row r="34" customFormat="false" ht="15" hidden="false" customHeight="false" outlineLevel="0" collapsed="false">
      <c r="A34" s="25" t="s">
        <v>72</v>
      </c>
      <c r="B34" s="19" t="s">
        <v>63</v>
      </c>
      <c r="C34" s="26" t="s">
        <v>73</v>
      </c>
      <c r="D34" s="20"/>
      <c r="E34" s="27"/>
      <c r="F34" s="27"/>
      <c r="G34" s="16"/>
    </row>
    <row r="35" customFormat="false" ht="15" hidden="false" customHeight="false" outlineLevel="0" collapsed="false">
      <c r="A35" s="25" t="s">
        <v>74</v>
      </c>
      <c r="B35" s="19" t="s">
        <v>68</v>
      </c>
      <c r="C35" s="26" t="s">
        <v>73</v>
      </c>
      <c r="D35" s="20"/>
      <c r="E35" s="27"/>
      <c r="F35" s="27"/>
      <c r="G35" s="16"/>
    </row>
    <row r="36" customFormat="false" ht="15" hidden="false" customHeight="false" outlineLevel="0" collapsed="false">
      <c r="A36" s="25" t="s">
        <v>75</v>
      </c>
      <c r="B36" s="19" t="s">
        <v>68</v>
      </c>
      <c r="C36" s="26" t="s">
        <v>73</v>
      </c>
      <c r="D36" s="20"/>
      <c r="E36" s="27"/>
      <c r="F36" s="27"/>
      <c r="G36" s="16"/>
    </row>
    <row r="37" customFormat="false" ht="33.75" hidden="false" customHeight="true" outlineLevel="0" collapsed="false">
      <c r="A37" s="17" t="s">
        <v>76</v>
      </c>
      <c r="B37" s="17"/>
      <c r="C37" s="16"/>
      <c r="D37" s="16"/>
      <c r="E37" s="16"/>
      <c r="F37" s="16"/>
      <c r="G37" s="16"/>
    </row>
    <row r="39" customFormat="false" ht="21.75" hidden="false" customHeight="true" outlineLevel="0" collapsed="false">
      <c r="A39" s="13" t="s">
        <v>77</v>
      </c>
      <c r="B39" s="13"/>
      <c r="C39" s="13"/>
      <c r="D39" s="13"/>
      <c r="E39" s="13"/>
      <c r="F39" s="13"/>
      <c r="G39" s="13"/>
    </row>
    <row r="40" customFormat="false" ht="15" hidden="false" customHeight="true" outlineLevel="0" collapsed="false">
      <c r="A40" s="17" t="s">
        <v>78</v>
      </c>
      <c r="B40" s="17" t="s">
        <v>79</v>
      </c>
      <c r="C40" s="17"/>
      <c r="D40" s="17" t="s">
        <v>80</v>
      </c>
      <c r="E40" s="17"/>
      <c r="F40" s="17"/>
      <c r="G40" s="17"/>
    </row>
    <row r="41" customFormat="false" ht="15" hidden="false" customHeight="false" outlineLevel="0" collapsed="false">
      <c r="A41" s="18" t="s">
        <v>81</v>
      </c>
      <c r="B41" s="16"/>
      <c r="C41" s="16"/>
      <c r="D41" s="16"/>
      <c r="E41" s="16"/>
      <c r="F41" s="16"/>
      <c r="G41" s="16"/>
    </row>
    <row r="42" customFormat="false" ht="26.85" hidden="false" customHeight="false" outlineLevel="0" collapsed="false">
      <c r="A42" s="18" t="s">
        <v>82</v>
      </c>
      <c r="B42" s="16"/>
      <c r="C42" s="16"/>
      <c r="D42" s="16"/>
      <c r="E42" s="16"/>
      <c r="F42" s="16"/>
      <c r="G42" s="16"/>
    </row>
    <row r="43" customFormat="false" ht="15" hidden="false" customHeight="false" outlineLevel="0" collapsed="false">
      <c r="A43" s="25" t="s">
        <v>83</v>
      </c>
      <c r="B43" s="16"/>
      <c r="C43" s="16"/>
      <c r="D43" s="16"/>
      <c r="E43" s="16"/>
      <c r="F43" s="16"/>
      <c r="G43" s="16"/>
    </row>
    <row r="44" customFormat="false" ht="15" hidden="false" customHeight="false" outlineLevel="0" collapsed="false">
      <c r="A44" s="18" t="s">
        <v>84</v>
      </c>
      <c r="B44" s="16"/>
      <c r="C44" s="16"/>
      <c r="D44" s="16"/>
      <c r="E44" s="16"/>
      <c r="F44" s="16"/>
      <c r="G44" s="16"/>
    </row>
    <row r="45" customFormat="false" ht="15" hidden="false" customHeight="false" outlineLevel="0" collapsed="false">
      <c r="A45" s="18" t="s">
        <v>85</v>
      </c>
      <c r="B45" s="16"/>
      <c r="C45" s="16"/>
      <c r="D45" s="16"/>
      <c r="E45" s="16"/>
      <c r="F45" s="16"/>
      <c r="G45" s="16"/>
    </row>
    <row r="46" customFormat="false" ht="15" hidden="false" customHeight="false" outlineLevel="0" collapsed="false">
      <c r="A46" s="18" t="s">
        <v>86</v>
      </c>
      <c r="B46" s="16"/>
      <c r="C46" s="16"/>
      <c r="D46" s="16"/>
      <c r="E46" s="16"/>
      <c r="F46" s="16"/>
      <c r="G46" s="16"/>
    </row>
    <row r="47" customFormat="false" ht="15" hidden="false" customHeight="false" outlineLevel="0" collapsed="false">
      <c r="A47" s="18" t="s">
        <v>87</v>
      </c>
      <c r="B47" s="16"/>
      <c r="C47" s="16"/>
      <c r="D47" s="16"/>
      <c r="E47" s="16"/>
      <c r="F47" s="16"/>
      <c r="G47" s="16"/>
    </row>
    <row r="48" customFormat="false" ht="15" hidden="false" customHeight="false" outlineLevel="0" collapsed="false">
      <c r="A48" s="18" t="s">
        <v>88</v>
      </c>
      <c r="B48" s="16"/>
      <c r="C48" s="16"/>
      <c r="D48" s="16"/>
      <c r="E48" s="16"/>
      <c r="F48" s="16"/>
      <c r="G48" s="16"/>
    </row>
    <row r="49" customFormat="false" ht="15" hidden="false" customHeight="false" outlineLevel="0" collapsed="false">
      <c r="A49" s="25" t="s">
        <v>89</v>
      </c>
      <c r="B49" s="16"/>
      <c r="C49" s="16"/>
      <c r="D49" s="16"/>
      <c r="E49" s="16"/>
      <c r="F49" s="16"/>
      <c r="G49" s="16"/>
    </row>
    <row r="50" customFormat="false" ht="33.75" hidden="false" customHeight="true" outlineLevel="0" collapsed="false">
      <c r="A50" s="14" t="s">
        <v>90</v>
      </c>
      <c r="B50" s="14"/>
      <c r="C50" s="16"/>
      <c r="D50" s="16"/>
      <c r="E50" s="16"/>
      <c r="F50" s="16"/>
      <c r="G50" s="16"/>
    </row>
    <row r="51" customFormat="false" ht="33.75" hidden="false" customHeight="true" outlineLevel="0" collapsed="false">
      <c r="A51" s="14" t="s">
        <v>91</v>
      </c>
      <c r="B51" s="14"/>
      <c r="C51" s="16"/>
      <c r="D51" s="16"/>
      <c r="E51" s="16"/>
      <c r="F51" s="16"/>
      <c r="G51" s="16"/>
    </row>
    <row r="52" customFormat="false" ht="33.75" hidden="false" customHeight="true" outlineLevel="0" collapsed="false">
      <c r="A52" s="14" t="s">
        <v>92</v>
      </c>
      <c r="B52" s="14"/>
      <c r="C52" s="16"/>
      <c r="D52" s="16"/>
      <c r="E52" s="16"/>
      <c r="F52" s="16"/>
      <c r="G52" s="16"/>
    </row>
    <row r="53" customFormat="false" ht="33.75" hidden="false" customHeight="true" outlineLevel="0" collapsed="false">
      <c r="A53" s="14" t="s">
        <v>93</v>
      </c>
      <c r="B53" s="14"/>
      <c r="C53" s="16"/>
      <c r="D53" s="16"/>
      <c r="E53" s="16"/>
      <c r="F53" s="16"/>
      <c r="G53" s="16"/>
    </row>
    <row r="54" customFormat="false" ht="33.75" hidden="false" customHeight="true" outlineLevel="0" collapsed="false">
      <c r="A54" s="14" t="s">
        <v>94</v>
      </c>
      <c r="B54" s="14"/>
      <c r="C54" s="16"/>
      <c r="D54" s="16"/>
      <c r="E54" s="16"/>
      <c r="F54" s="16"/>
      <c r="G54" s="16"/>
    </row>
    <row r="56" customFormat="false" ht="21.75" hidden="false" customHeight="true" outlineLevel="0" collapsed="false">
      <c r="A56" s="13" t="s">
        <v>95</v>
      </c>
      <c r="B56" s="13"/>
      <c r="C56" s="13"/>
      <c r="D56" s="13"/>
      <c r="E56" s="13"/>
      <c r="F56" s="13"/>
      <c r="G56" s="13"/>
    </row>
    <row r="57" customFormat="false" ht="15" hidden="false" customHeight="true" outlineLevel="0" collapsed="false">
      <c r="A57" s="14" t="s">
        <v>96</v>
      </c>
      <c r="B57" s="14"/>
      <c r="C57" s="28"/>
      <c r="D57" s="29" t="str">
        <f aca="false">IF(C57="","",IF(C57&gt;=9,"→ このまま紹介をお願いする",IF(C57&gt;=7,"→ 困りごとを聞いてから、紹介をお願いする","→ 紹介はお願いせず、困りごとを先に直す")))</f>
        <v/>
      </c>
      <c r="E57" s="29"/>
      <c r="F57" s="29"/>
      <c r="G57" s="29"/>
    </row>
    <row r="58" customFormat="false" ht="30" hidden="false" customHeight="true" outlineLevel="0" collapsed="false">
      <c r="A58" s="14" t="s">
        <v>97</v>
      </c>
      <c r="B58" s="14"/>
      <c r="C58" s="16"/>
      <c r="D58" s="16"/>
      <c r="E58" s="16"/>
      <c r="F58" s="16"/>
      <c r="G58" s="16"/>
    </row>
    <row r="59" customFormat="false" ht="15" hidden="false" customHeight="true" outlineLevel="0" collapsed="false">
      <c r="A59" s="14" t="s">
        <v>98</v>
      </c>
      <c r="B59" s="14"/>
      <c r="C59" s="16"/>
      <c r="D59" s="16"/>
      <c r="E59" s="16"/>
      <c r="F59" s="16"/>
      <c r="G59" s="16"/>
    </row>
    <row r="61" customFormat="false" ht="43.5" hidden="false" customHeight="true" outlineLevel="0" collapsed="false">
      <c r="A61" s="12" t="s">
        <v>99</v>
      </c>
      <c r="B61" s="12"/>
      <c r="C61" s="12"/>
      <c r="D61" s="12"/>
      <c r="E61" s="12"/>
      <c r="F61" s="12"/>
      <c r="G61" s="12"/>
    </row>
    <row r="62" customFormat="false" ht="15" hidden="false" customHeight="true" outlineLevel="0" collapsed="false">
      <c r="A62" s="17" t="s">
        <v>100</v>
      </c>
      <c r="B62" s="17"/>
      <c r="C62" s="17" t="s">
        <v>101</v>
      </c>
      <c r="D62" s="17"/>
      <c r="E62" s="17" t="s">
        <v>102</v>
      </c>
      <c r="F62" s="17"/>
      <c r="G62" s="17" t="s">
        <v>103</v>
      </c>
    </row>
    <row r="63" customFormat="false" ht="15" hidden="false" customHeight="false" outlineLevel="0" collapsed="false">
      <c r="A63" s="16"/>
      <c r="B63" s="16"/>
      <c r="C63" s="16"/>
      <c r="D63" s="16"/>
      <c r="E63" s="16"/>
      <c r="F63" s="16"/>
      <c r="G63" s="15"/>
    </row>
    <row r="64" customFormat="false" ht="15" hidden="false" customHeight="false" outlineLevel="0" collapsed="false">
      <c r="A64" s="16"/>
      <c r="B64" s="16"/>
      <c r="C64" s="16"/>
      <c r="D64" s="16"/>
      <c r="E64" s="16"/>
      <c r="F64" s="16"/>
      <c r="G64" s="15"/>
    </row>
    <row r="65" customFormat="false" ht="15" hidden="false" customHeight="false" outlineLevel="0" collapsed="false">
      <c r="A65" s="16"/>
      <c r="B65" s="16"/>
      <c r="C65" s="16"/>
      <c r="D65" s="16"/>
      <c r="E65" s="16"/>
      <c r="F65" s="16"/>
      <c r="G65" s="15"/>
    </row>
    <row r="67" customFormat="false" ht="26.85" hidden="false" customHeight="true" outlineLevel="0" collapsed="false">
      <c r="A67" s="14" t="s">
        <v>104</v>
      </c>
      <c r="B67" s="14"/>
      <c r="C67" s="16"/>
      <c r="D67" s="16"/>
      <c r="E67" s="16"/>
      <c r="F67" s="16"/>
      <c r="G67" s="16"/>
    </row>
    <row r="69" customFormat="false" ht="21.75" hidden="false" customHeight="true" outlineLevel="0" collapsed="false">
      <c r="A69" s="30" t="s">
        <v>105</v>
      </c>
      <c r="B69" s="30"/>
      <c r="C69" s="30"/>
      <c r="D69" s="30"/>
      <c r="E69" s="30"/>
      <c r="F69" s="30"/>
      <c r="G69" s="30"/>
    </row>
    <row r="70" customFormat="false" ht="15" hidden="false" customHeight="true" outlineLevel="0" collapsed="false">
      <c r="A70" s="18" t="s">
        <v>106</v>
      </c>
      <c r="B70" s="18"/>
      <c r="C70" s="18"/>
      <c r="D70" s="18"/>
      <c r="E70" s="18"/>
      <c r="F70" s="18"/>
      <c r="G70" s="31" t="s">
        <v>107</v>
      </c>
    </row>
    <row r="71" customFormat="false" ht="15" hidden="false" customHeight="true" outlineLevel="0" collapsed="false">
      <c r="A71" s="18" t="s">
        <v>108</v>
      </c>
      <c r="B71" s="18"/>
      <c r="C71" s="18"/>
      <c r="D71" s="18"/>
      <c r="E71" s="18"/>
      <c r="F71" s="18"/>
      <c r="G71" s="31" t="s">
        <v>107</v>
      </c>
    </row>
    <row r="72" customFormat="false" ht="15" hidden="false" customHeight="true" outlineLevel="0" collapsed="false">
      <c r="A72" s="18" t="s">
        <v>109</v>
      </c>
      <c r="B72" s="18"/>
      <c r="C72" s="18"/>
      <c r="D72" s="18"/>
      <c r="E72" s="18"/>
      <c r="F72" s="18"/>
      <c r="G72" s="31" t="s">
        <v>107</v>
      </c>
    </row>
    <row r="73" customFormat="false" ht="15" hidden="false" customHeight="true" outlineLevel="0" collapsed="false">
      <c r="A73" s="18" t="s">
        <v>110</v>
      </c>
      <c r="B73" s="18"/>
      <c r="C73" s="18"/>
      <c r="D73" s="18"/>
      <c r="E73" s="18"/>
      <c r="F73" s="18"/>
      <c r="G73" s="31" t="s">
        <v>107</v>
      </c>
    </row>
  </sheetData>
  <mergeCells count="95">
    <mergeCell ref="A1:G1"/>
    <mergeCell ref="A2:G2"/>
    <mergeCell ref="A4:G4"/>
    <mergeCell ref="A5:B5"/>
    <mergeCell ref="C5:G5"/>
    <mergeCell ref="A6:B6"/>
    <mergeCell ref="C6:G6"/>
    <mergeCell ref="A7:B7"/>
    <mergeCell ref="C7:G7"/>
    <mergeCell ref="A8:B8"/>
    <mergeCell ref="C8:G8"/>
    <mergeCell ref="A9:B9"/>
    <mergeCell ref="C9:G9"/>
    <mergeCell ref="A10:B10"/>
    <mergeCell ref="C10:G10"/>
    <mergeCell ref="A11:B11"/>
    <mergeCell ref="C11:G11"/>
    <mergeCell ref="A12:B12"/>
    <mergeCell ref="C12:G12"/>
    <mergeCell ref="A13:B13"/>
    <mergeCell ref="C13:G13"/>
    <mergeCell ref="A15:G15"/>
    <mergeCell ref="A16:B16"/>
    <mergeCell ref="C16:G16"/>
    <mergeCell ref="A17:B17"/>
    <mergeCell ref="C17:G17"/>
    <mergeCell ref="A18:B18"/>
    <mergeCell ref="C18:G18"/>
    <mergeCell ref="A19:B19"/>
    <mergeCell ref="C19:G19"/>
    <mergeCell ref="A20:B20"/>
    <mergeCell ref="C20:G20"/>
    <mergeCell ref="A21:B21"/>
    <mergeCell ref="C21:G21"/>
    <mergeCell ref="A23:G23"/>
    <mergeCell ref="A37:B37"/>
    <mergeCell ref="C37:G37"/>
    <mergeCell ref="A39:G39"/>
    <mergeCell ref="B40:C40"/>
    <mergeCell ref="D40:G40"/>
    <mergeCell ref="B41:C41"/>
    <mergeCell ref="D41:G41"/>
    <mergeCell ref="B42:C42"/>
    <mergeCell ref="D42:G42"/>
    <mergeCell ref="B43:C43"/>
    <mergeCell ref="D43:G43"/>
    <mergeCell ref="B44:C44"/>
    <mergeCell ref="D44:G44"/>
    <mergeCell ref="B45:C45"/>
    <mergeCell ref="D45:G45"/>
    <mergeCell ref="B46:C46"/>
    <mergeCell ref="D46:G46"/>
    <mergeCell ref="B47:C47"/>
    <mergeCell ref="D47:G47"/>
    <mergeCell ref="B48:C48"/>
    <mergeCell ref="D48:G48"/>
    <mergeCell ref="B49:C49"/>
    <mergeCell ref="D49:G49"/>
    <mergeCell ref="A50:B50"/>
    <mergeCell ref="C50:G50"/>
    <mergeCell ref="A51:B51"/>
    <mergeCell ref="C51:G51"/>
    <mergeCell ref="A52:B52"/>
    <mergeCell ref="C52:G52"/>
    <mergeCell ref="A53:B53"/>
    <mergeCell ref="C53:G53"/>
    <mergeCell ref="A54:B54"/>
    <mergeCell ref="C54:G54"/>
    <mergeCell ref="A56:G56"/>
    <mergeCell ref="A57:B57"/>
    <mergeCell ref="D57:G57"/>
    <mergeCell ref="A58:B58"/>
    <mergeCell ref="C58:G58"/>
    <mergeCell ref="A59:B59"/>
    <mergeCell ref="C59:G59"/>
    <mergeCell ref="A61:G61"/>
    <mergeCell ref="A62:B62"/>
    <mergeCell ref="C62:D62"/>
    <mergeCell ref="E62:F62"/>
    <mergeCell ref="A63:B63"/>
    <mergeCell ref="C63:D63"/>
    <mergeCell ref="E63:F63"/>
    <mergeCell ref="A64:B64"/>
    <mergeCell ref="C64:D64"/>
    <mergeCell ref="E64:F64"/>
    <mergeCell ref="A65:B65"/>
    <mergeCell ref="C65:D65"/>
    <mergeCell ref="E65:F65"/>
    <mergeCell ref="A67:B67"/>
    <mergeCell ref="C67:G67"/>
    <mergeCell ref="A69:G69"/>
    <mergeCell ref="A70:F70"/>
    <mergeCell ref="A71:F71"/>
    <mergeCell ref="A72:F72"/>
    <mergeCell ref="A73:F73"/>
  </mergeCells>
  <dataValidations count="5">
    <dataValidation allowBlank="true" errorStyle="stop" operator="between" showDropDown="false" showErrorMessage="false" showInputMessage="false" sqref="B41:B49" type="list">
      <formula1>"毎日使う,ときどき,使っていない"</formula1>
      <formula2>0</formula2>
    </dataValidation>
    <dataValidation allowBlank="true" errorStyle="stop" operator="between" showDropDown="false" showErrorMessage="false" showInputMessage="false" sqref="C57" type="whole">
      <formula1>0</formula1>
      <formula2>10</formula2>
    </dataValidation>
    <dataValidation allowBlank="true" errorStyle="stop" operator="between" showDropDown="false" showErrorMessage="false" showInputMessage="false" sqref="C59" type="list">
      <formula1>"とても困る,少し困る,困らない"</formula1>
      <formula2>0</formula2>
    </dataValidation>
    <dataValidation allowBlank="true" errorStyle="stop" operator="between" showDropDown="false" showErrorMessage="false" showInputMessage="false" sqref="C67" type="list">
      <formula1>"店名を出してよい,店名は出さずに,店名なし・写真もよい,使わないでほしい"</formula1>
      <formula2>0</formula2>
    </dataValidation>
    <dataValidation allowBlank="true" errorStyle="stop" operator="between" showDropDown="false" showErrorMessage="false" showInputMessage="false" sqref="G70:G73" type="list">
      <formula1>"まだ,済み"</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0"/>
    <col collapsed="false" customWidth="true" hidden="false" outlineLevel="0" max="4" min="3" style="0" width="14"/>
    <col collapsed="false" customWidth="true" hidden="false" outlineLevel="0" max="5" min="5" style="0" width="13"/>
    <col collapsed="false" customWidth="true" hidden="false" outlineLevel="0" max="6" min="6" style="0" width="12"/>
    <col collapsed="false" customWidth="true" hidden="false" outlineLevel="0" max="7" min="7" style="0" width="30"/>
  </cols>
  <sheetData>
    <row r="1" customFormat="false" ht="25.5" hidden="false" customHeight="true" outlineLevel="0" collapsed="false">
      <c r="A1" s="11" t="s">
        <v>0</v>
      </c>
      <c r="B1" s="11"/>
      <c r="C1" s="11"/>
      <c r="D1" s="11"/>
      <c r="E1" s="11"/>
      <c r="F1" s="11"/>
      <c r="G1" s="11"/>
    </row>
    <row r="2" customFormat="false" ht="30" hidden="false" customHeight="true" outlineLevel="0" collapsed="false">
      <c r="A2" s="12" t="s">
        <v>36</v>
      </c>
      <c r="B2" s="12"/>
      <c r="C2" s="12"/>
      <c r="D2" s="12"/>
      <c r="E2" s="12"/>
      <c r="F2" s="12"/>
      <c r="G2" s="12"/>
    </row>
    <row r="4" customFormat="false" ht="21.75" hidden="false" customHeight="true" outlineLevel="0" collapsed="false">
      <c r="A4" s="13" t="s">
        <v>37</v>
      </c>
      <c r="B4" s="13"/>
      <c r="C4" s="13"/>
      <c r="D4" s="13"/>
      <c r="E4" s="13"/>
      <c r="F4" s="13"/>
      <c r="G4" s="13"/>
    </row>
    <row r="5" customFormat="false" ht="15" hidden="false" customHeight="true" outlineLevel="0" collapsed="false">
      <c r="A5" s="14" t="s">
        <v>15</v>
      </c>
      <c r="B5" s="14"/>
      <c r="C5" s="15" t="n">
        <v>46331</v>
      </c>
      <c r="D5" s="15"/>
      <c r="E5" s="15"/>
      <c r="F5" s="15"/>
      <c r="G5" s="15"/>
    </row>
    <row r="6" customFormat="false" ht="15" hidden="false" customHeight="true" outlineLevel="0" collapsed="false">
      <c r="A6" s="14" t="s">
        <v>13</v>
      </c>
      <c r="B6" s="14"/>
      <c r="C6" s="32" t="s">
        <v>111</v>
      </c>
      <c r="D6" s="32"/>
      <c r="E6" s="32"/>
      <c r="F6" s="32"/>
      <c r="G6" s="32"/>
    </row>
    <row r="7" customFormat="false" ht="15" hidden="false" customHeight="true" outlineLevel="0" collapsed="false">
      <c r="A7" s="14" t="s">
        <v>38</v>
      </c>
      <c r="B7" s="14"/>
      <c r="C7" s="32" t="s">
        <v>112</v>
      </c>
      <c r="D7" s="32"/>
      <c r="E7" s="32"/>
      <c r="F7" s="32"/>
      <c r="G7" s="32"/>
    </row>
    <row r="8" customFormat="false" ht="15" hidden="false" customHeight="true" outlineLevel="0" collapsed="false">
      <c r="A8" s="14" t="s">
        <v>39</v>
      </c>
      <c r="B8" s="14"/>
      <c r="C8" s="32" t="s">
        <v>113</v>
      </c>
      <c r="D8" s="32"/>
      <c r="E8" s="32"/>
      <c r="F8" s="32"/>
      <c r="G8" s="32"/>
    </row>
    <row r="9" customFormat="false" ht="15" hidden="false" customHeight="true" outlineLevel="0" collapsed="false">
      <c r="A9" s="14" t="s">
        <v>40</v>
      </c>
      <c r="B9" s="14"/>
      <c r="C9" s="15" t="n">
        <v>46235</v>
      </c>
      <c r="D9" s="15"/>
      <c r="E9" s="15"/>
      <c r="F9" s="15"/>
      <c r="G9" s="15"/>
    </row>
    <row r="10" customFormat="false" ht="15" hidden="false" customHeight="true" outlineLevel="0" collapsed="false">
      <c r="A10" s="14" t="s">
        <v>16</v>
      </c>
      <c r="B10" s="14"/>
      <c r="C10" s="32" t="s">
        <v>114</v>
      </c>
      <c r="D10" s="32"/>
      <c r="E10" s="32"/>
      <c r="F10" s="32"/>
      <c r="G10" s="32"/>
    </row>
    <row r="11" customFormat="false" ht="15" hidden="false" customHeight="true" outlineLevel="0" collapsed="false">
      <c r="A11" s="14" t="s">
        <v>41</v>
      </c>
      <c r="B11" s="14"/>
      <c r="C11" s="16" t="s">
        <v>115</v>
      </c>
      <c r="D11" s="16"/>
      <c r="E11" s="16"/>
      <c r="F11" s="16"/>
      <c r="G11" s="16"/>
    </row>
    <row r="12" customFormat="false" ht="15" hidden="false" customHeight="true" outlineLevel="0" collapsed="false">
      <c r="A12" s="14" t="s">
        <v>42</v>
      </c>
      <c r="B12" s="14"/>
      <c r="C12" s="32" t="s">
        <v>116</v>
      </c>
      <c r="D12" s="32"/>
      <c r="E12" s="32"/>
      <c r="F12" s="32"/>
      <c r="G12" s="32"/>
    </row>
    <row r="13" customFormat="false" ht="15" hidden="false" customHeight="true" outlineLevel="0" collapsed="false">
      <c r="A13" s="14" t="s">
        <v>43</v>
      </c>
      <c r="B13" s="14"/>
      <c r="C13" s="32" t="s">
        <v>117</v>
      </c>
      <c r="D13" s="32"/>
      <c r="E13" s="32"/>
      <c r="F13" s="32"/>
      <c r="G13" s="32"/>
    </row>
    <row r="15" customFormat="false" ht="21.75" hidden="false" customHeight="true" outlineLevel="0" collapsed="false">
      <c r="A15" s="13" t="s">
        <v>44</v>
      </c>
      <c r="B15" s="13"/>
      <c r="C15" s="13"/>
      <c r="D15" s="13"/>
      <c r="E15" s="13"/>
      <c r="F15" s="13"/>
      <c r="G15" s="13"/>
    </row>
    <row r="16" customFormat="false" ht="33.75" hidden="false" customHeight="true" outlineLevel="0" collapsed="false">
      <c r="A16" s="14" t="s">
        <v>45</v>
      </c>
      <c r="B16" s="14"/>
      <c r="C16" s="32" t="s">
        <v>118</v>
      </c>
      <c r="D16" s="32"/>
      <c r="E16" s="32"/>
      <c r="F16" s="32"/>
      <c r="G16" s="32"/>
    </row>
    <row r="17" customFormat="false" ht="33.75" hidden="false" customHeight="true" outlineLevel="0" collapsed="false">
      <c r="A17" s="14" t="s">
        <v>46</v>
      </c>
      <c r="B17" s="14"/>
      <c r="C17" s="32" t="s">
        <v>119</v>
      </c>
      <c r="D17" s="32"/>
      <c r="E17" s="32"/>
      <c r="F17" s="32"/>
      <c r="G17" s="32"/>
    </row>
    <row r="18" customFormat="false" ht="33.75" hidden="false" customHeight="true" outlineLevel="0" collapsed="false">
      <c r="A18" s="14" t="s">
        <v>47</v>
      </c>
      <c r="B18" s="14"/>
      <c r="C18" s="32"/>
      <c r="D18" s="32"/>
      <c r="E18" s="32"/>
      <c r="F18" s="32"/>
      <c r="G18" s="32"/>
    </row>
    <row r="19" customFormat="false" ht="33.75" hidden="false" customHeight="true" outlineLevel="0" collapsed="false">
      <c r="A19" s="14" t="s">
        <v>48</v>
      </c>
      <c r="B19" s="14"/>
      <c r="C19" s="32"/>
      <c r="D19" s="32"/>
      <c r="E19" s="32"/>
      <c r="F19" s="32"/>
      <c r="G19" s="32"/>
    </row>
    <row r="20" customFormat="false" ht="33.75" hidden="false" customHeight="true" outlineLevel="0" collapsed="false">
      <c r="A20" s="14" t="s">
        <v>49</v>
      </c>
      <c r="B20" s="14"/>
      <c r="C20" s="32" t="s">
        <v>120</v>
      </c>
      <c r="D20" s="32"/>
      <c r="E20" s="32"/>
      <c r="F20" s="32"/>
      <c r="G20" s="32"/>
    </row>
    <row r="21" customFormat="false" ht="33.75" hidden="false" customHeight="true" outlineLevel="0" collapsed="false">
      <c r="A21" s="14" t="s">
        <v>50</v>
      </c>
      <c r="B21" s="14"/>
      <c r="C21" s="32"/>
      <c r="D21" s="32"/>
      <c r="E21" s="32"/>
      <c r="F21" s="32"/>
      <c r="G21" s="32"/>
    </row>
    <row r="23" customFormat="false" ht="21.75" hidden="false" customHeight="true" outlineLevel="0" collapsed="false">
      <c r="A23" s="13" t="s">
        <v>51</v>
      </c>
      <c r="B23" s="13"/>
      <c r="C23" s="13"/>
      <c r="D23" s="13"/>
      <c r="E23" s="13"/>
      <c r="F23" s="13"/>
      <c r="G23" s="13"/>
    </row>
    <row r="24" customFormat="false" ht="15" hidden="false" customHeight="false" outlineLevel="0" collapsed="false">
      <c r="A24" s="17" t="s">
        <v>52</v>
      </c>
      <c r="B24" s="17" t="s">
        <v>53</v>
      </c>
      <c r="C24" s="17" t="s">
        <v>54</v>
      </c>
      <c r="D24" s="17" t="s">
        <v>18</v>
      </c>
      <c r="E24" s="17" t="s">
        <v>55</v>
      </c>
      <c r="F24" s="17" t="s">
        <v>19</v>
      </c>
      <c r="G24" s="17" t="s">
        <v>56</v>
      </c>
    </row>
    <row r="25" customFormat="false" ht="26.85" hidden="false" customHeight="false" outlineLevel="0" collapsed="false">
      <c r="A25" s="18" t="s">
        <v>57</v>
      </c>
      <c r="B25" s="19" t="s">
        <v>58</v>
      </c>
      <c r="C25" s="20" t="n">
        <v>40</v>
      </c>
      <c r="D25" s="20" t="n">
        <v>10</v>
      </c>
      <c r="E25" s="21" t="n">
        <f aca="false">IF(OR(C25="",D25=""),"",C25-D25)</f>
        <v>30</v>
      </c>
      <c r="F25" s="22" t="n">
        <f aca="false">IF(OR(C25="",D25="",N(C25)=0),"",(C25-D25)/C25)</f>
        <v>0.75</v>
      </c>
      <c r="G25" s="32" t="s">
        <v>121</v>
      </c>
    </row>
    <row r="26" customFormat="false" ht="26.85" hidden="false" customHeight="false" outlineLevel="0" collapsed="false">
      <c r="A26" s="18" t="s">
        <v>59</v>
      </c>
      <c r="B26" s="19" t="s">
        <v>60</v>
      </c>
      <c r="C26" s="23" t="n">
        <v>10</v>
      </c>
      <c r="D26" s="23" t="n">
        <v>2</v>
      </c>
      <c r="E26" s="24" t="n">
        <f aca="false">IF(OR(C26="",D26=""),"",C26-D26)</f>
        <v>8</v>
      </c>
      <c r="F26" s="22" t="n">
        <f aca="false">IF(OR(C26="",D26="",N(C26)=0),"",(C26-D26)/C26)</f>
        <v>0.8</v>
      </c>
      <c r="G26" s="32" t="s">
        <v>122</v>
      </c>
    </row>
    <row r="27" customFormat="false" ht="15" hidden="false" customHeight="false" outlineLevel="0" collapsed="false">
      <c r="A27" s="18" t="s">
        <v>61</v>
      </c>
      <c r="B27" s="19" t="s">
        <v>60</v>
      </c>
      <c r="C27" s="23"/>
      <c r="D27" s="23"/>
      <c r="E27" s="24" t="str">
        <f aca="false">IF(OR(C27="",D27=""),"",C27-D27)</f>
        <v/>
      </c>
      <c r="F27" s="22" t="str">
        <f aca="false">IF(OR(C27="",D27="",N(C27)=0),"",(C27-D27)/C27)</f>
        <v/>
      </c>
      <c r="G27" s="32"/>
    </row>
    <row r="28" customFormat="false" ht="15" hidden="false" customHeight="false" outlineLevel="0" collapsed="false">
      <c r="A28" s="18" t="s">
        <v>62</v>
      </c>
      <c r="B28" s="19" t="s">
        <v>63</v>
      </c>
      <c r="C28" s="20" t="n">
        <v>15</v>
      </c>
      <c r="D28" s="20" t="n">
        <v>3</v>
      </c>
      <c r="E28" s="21" t="n">
        <f aca="false">IF(OR(C28="",D28=""),"",C28-D28)</f>
        <v>12</v>
      </c>
      <c r="F28" s="22" t="n">
        <f aca="false">IF(OR(C28="",D28="",N(C28)=0),"",(C28-D28)/C28)</f>
        <v>0.8</v>
      </c>
      <c r="G28" s="32"/>
    </row>
    <row r="29" customFormat="false" ht="15" hidden="false" customHeight="false" outlineLevel="0" collapsed="false">
      <c r="A29" s="18" t="s">
        <v>64</v>
      </c>
      <c r="B29" s="19" t="s">
        <v>63</v>
      </c>
      <c r="C29" s="20"/>
      <c r="D29" s="20"/>
      <c r="E29" s="21" t="str">
        <f aca="false">IF(OR(C29="",D29=""),"",C29-D29)</f>
        <v/>
      </c>
      <c r="F29" s="22" t="str">
        <f aca="false">IF(OR(C29="",D29="",N(C29)=0),"",(C29-D29)/C29)</f>
        <v/>
      </c>
      <c r="G29" s="32"/>
    </row>
    <row r="30" customFormat="false" ht="15" hidden="false" customHeight="false" outlineLevel="0" collapsed="false">
      <c r="A30" s="18" t="s">
        <v>65</v>
      </c>
      <c r="B30" s="19" t="s">
        <v>66</v>
      </c>
      <c r="C30" s="20"/>
      <c r="D30" s="20"/>
      <c r="E30" s="21" t="str">
        <f aca="false">IF(OR(C30="",D30=""),"",C30-D30)</f>
        <v/>
      </c>
      <c r="F30" s="22" t="str">
        <f aca="false">IF(OR(C30="",D30="",N(C30)=0),"",(C30-D30)/C30)</f>
        <v/>
      </c>
      <c r="G30" s="32"/>
    </row>
    <row r="31" customFormat="false" ht="15" hidden="false" customHeight="false" outlineLevel="0" collapsed="false">
      <c r="A31" s="18" t="s">
        <v>67</v>
      </c>
      <c r="B31" s="19" t="s">
        <v>68</v>
      </c>
      <c r="C31" s="20"/>
      <c r="D31" s="20"/>
      <c r="E31" s="21" t="str">
        <f aca="false">IF(OR(C31="",D31=""),"",C31-D31)</f>
        <v/>
      </c>
      <c r="F31" s="22" t="str">
        <f aca="false">IF(OR(C31="",D31="",N(C31)=0),"",(C31-D31)/C31)</f>
        <v/>
      </c>
      <c r="G31" s="32"/>
    </row>
    <row r="32" customFormat="false" ht="15" hidden="false" customHeight="false" outlineLevel="0" collapsed="false">
      <c r="A32" s="18" t="s">
        <v>69</v>
      </c>
      <c r="B32" s="19" t="s">
        <v>68</v>
      </c>
      <c r="C32" s="20"/>
      <c r="D32" s="20"/>
      <c r="E32" s="21" t="str">
        <f aca="false">IF(OR(C32="",D32=""),"",C32-D32)</f>
        <v/>
      </c>
      <c r="F32" s="22" t="str">
        <f aca="false">IF(OR(C32="",D32="",N(C32)=0),"",(C32-D32)/C32)</f>
        <v/>
      </c>
      <c r="G32" s="32"/>
    </row>
    <row r="33" customFormat="false" ht="26.85" hidden="false" customHeight="false" outlineLevel="0" collapsed="false">
      <c r="A33" s="18" t="s">
        <v>70</v>
      </c>
      <c r="B33" s="19" t="s">
        <v>71</v>
      </c>
      <c r="C33" s="20"/>
      <c r="D33" s="20"/>
      <c r="E33" s="21" t="str">
        <f aca="false">IF(OR(C33="",D33=""),"",C33-D33)</f>
        <v/>
      </c>
      <c r="F33" s="22" t="str">
        <f aca="false">IF(OR(C33="",D33="",N(C33)=0),"",(C33-D33)/C33)</f>
        <v/>
      </c>
      <c r="G33" s="32"/>
    </row>
    <row r="34" customFormat="false" ht="15" hidden="false" customHeight="false" outlineLevel="0" collapsed="false">
      <c r="A34" s="25" t="s">
        <v>72</v>
      </c>
      <c r="B34" s="19" t="s">
        <v>63</v>
      </c>
      <c r="C34" s="26" t="s">
        <v>73</v>
      </c>
      <c r="D34" s="20" t="n">
        <v>6</v>
      </c>
      <c r="E34" s="27"/>
      <c r="F34" s="27"/>
      <c r="G34" s="32" t="s">
        <v>123</v>
      </c>
    </row>
    <row r="35" customFormat="false" ht="15" hidden="false" customHeight="false" outlineLevel="0" collapsed="false">
      <c r="A35" s="25" t="s">
        <v>74</v>
      </c>
      <c r="B35" s="19" t="s">
        <v>68</v>
      </c>
      <c r="C35" s="26" t="s">
        <v>73</v>
      </c>
      <c r="D35" s="20" t="n">
        <v>3</v>
      </c>
      <c r="E35" s="27"/>
      <c r="F35" s="27"/>
      <c r="G35" s="32"/>
    </row>
    <row r="36" customFormat="false" ht="15" hidden="false" customHeight="false" outlineLevel="0" collapsed="false">
      <c r="A36" s="25" t="s">
        <v>75</v>
      </c>
      <c r="B36" s="19" t="s">
        <v>68</v>
      </c>
      <c r="C36" s="26" t="s">
        <v>73</v>
      </c>
      <c r="D36" s="20" t="n">
        <v>1</v>
      </c>
      <c r="E36" s="27"/>
      <c r="F36" s="27"/>
      <c r="G36" s="32"/>
    </row>
    <row r="37" customFormat="false" ht="33.75" hidden="false" customHeight="true" outlineLevel="0" collapsed="false">
      <c r="A37" s="17" t="s">
        <v>76</v>
      </c>
      <c r="B37" s="17"/>
      <c r="C37" s="32" t="s">
        <v>124</v>
      </c>
      <c r="D37" s="32"/>
      <c r="E37" s="32"/>
      <c r="F37" s="32"/>
      <c r="G37" s="32"/>
    </row>
    <row r="39" customFormat="false" ht="21.75" hidden="false" customHeight="true" outlineLevel="0" collapsed="false">
      <c r="A39" s="13" t="s">
        <v>77</v>
      </c>
      <c r="B39" s="13"/>
      <c r="C39" s="13"/>
      <c r="D39" s="13"/>
      <c r="E39" s="13"/>
      <c r="F39" s="13"/>
      <c r="G39" s="13"/>
    </row>
    <row r="40" customFormat="false" ht="15" hidden="false" customHeight="true" outlineLevel="0" collapsed="false">
      <c r="A40" s="17" t="s">
        <v>78</v>
      </c>
      <c r="B40" s="17" t="s">
        <v>79</v>
      </c>
      <c r="C40" s="17"/>
      <c r="D40" s="17" t="s">
        <v>80</v>
      </c>
      <c r="E40" s="17"/>
      <c r="F40" s="17"/>
      <c r="G40" s="17"/>
    </row>
    <row r="41" customFormat="false" ht="15" hidden="false" customHeight="true" outlineLevel="0" collapsed="false">
      <c r="A41" s="18" t="s">
        <v>81</v>
      </c>
      <c r="B41" s="32" t="s">
        <v>125</v>
      </c>
      <c r="C41" s="32"/>
      <c r="D41" s="16"/>
      <c r="E41" s="16"/>
      <c r="F41" s="16"/>
      <c r="G41" s="16"/>
    </row>
    <row r="42" customFormat="false" ht="26.85" hidden="false" customHeight="false" outlineLevel="0" collapsed="false">
      <c r="A42" s="18" t="s">
        <v>82</v>
      </c>
      <c r="B42" s="32"/>
      <c r="C42" s="32"/>
      <c r="D42" s="16"/>
      <c r="E42" s="16"/>
      <c r="F42" s="16"/>
      <c r="G42" s="16"/>
    </row>
    <row r="43" customFormat="false" ht="15" hidden="false" customHeight="false" outlineLevel="0" collapsed="false">
      <c r="A43" s="25" t="s">
        <v>83</v>
      </c>
      <c r="B43" s="32"/>
      <c r="C43" s="32"/>
      <c r="D43" s="16"/>
      <c r="E43" s="16"/>
      <c r="F43" s="16"/>
      <c r="G43" s="16"/>
    </row>
    <row r="44" customFormat="false" ht="15" hidden="false" customHeight="false" outlineLevel="0" collapsed="false">
      <c r="A44" s="18" t="s">
        <v>84</v>
      </c>
      <c r="B44" s="32"/>
      <c r="C44" s="32"/>
      <c r="D44" s="16"/>
      <c r="E44" s="16"/>
      <c r="F44" s="16"/>
      <c r="G44" s="16"/>
    </row>
    <row r="45" customFormat="false" ht="15" hidden="false" customHeight="true" outlineLevel="0" collapsed="false">
      <c r="A45" s="18" t="s">
        <v>85</v>
      </c>
      <c r="B45" s="32" t="s">
        <v>125</v>
      </c>
      <c r="C45" s="32"/>
      <c r="D45" s="16"/>
      <c r="E45" s="16"/>
      <c r="F45" s="16"/>
      <c r="G45" s="16"/>
    </row>
    <row r="46" customFormat="false" ht="15" hidden="false" customHeight="false" outlineLevel="0" collapsed="false">
      <c r="A46" s="18" t="s">
        <v>86</v>
      </c>
      <c r="B46" s="32"/>
      <c r="C46" s="32"/>
      <c r="D46" s="16"/>
      <c r="E46" s="16"/>
      <c r="F46" s="16"/>
      <c r="G46" s="16"/>
    </row>
    <row r="47" customFormat="false" ht="15" hidden="false" customHeight="false" outlineLevel="0" collapsed="false">
      <c r="A47" s="18" t="s">
        <v>87</v>
      </c>
      <c r="B47" s="32"/>
      <c r="C47" s="32"/>
      <c r="D47" s="16"/>
      <c r="E47" s="16"/>
      <c r="F47" s="16"/>
      <c r="G47" s="16"/>
    </row>
    <row r="48" customFormat="false" ht="15" hidden="false" customHeight="true" outlineLevel="0" collapsed="false">
      <c r="A48" s="18" t="s">
        <v>88</v>
      </c>
      <c r="B48" s="32" t="s">
        <v>126</v>
      </c>
      <c r="C48" s="32"/>
      <c r="D48" s="32" t="s">
        <v>127</v>
      </c>
      <c r="E48" s="32"/>
      <c r="F48" s="32"/>
      <c r="G48" s="32"/>
    </row>
    <row r="49" customFormat="false" ht="15" hidden="false" customHeight="true" outlineLevel="0" collapsed="false">
      <c r="A49" s="25" t="s">
        <v>89</v>
      </c>
      <c r="B49" s="32" t="s">
        <v>128</v>
      </c>
      <c r="C49" s="32"/>
      <c r="D49" s="32"/>
      <c r="E49" s="32"/>
      <c r="F49" s="32"/>
      <c r="G49" s="32"/>
    </row>
    <row r="50" customFormat="false" ht="33.75" hidden="false" customHeight="true" outlineLevel="0" collapsed="false">
      <c r="A50" s="14" t="s">
        <v>90</v>
      </c>
      <c r="B50" s="14"/>
      <c r="C50" s="32"/>
      <c r="D50" s="32"/>
      <c r="E50" s="32"/>
      <c r="F50" s="32"/>
      <c r="G50" s="32"/>
    </row>
    <row r="51" customFormat="false" ht="33.75" hidden="false" customHeight="true" outlineLevel="0" collapsed="false">
      <c r="A51" s="14" t="s">
        <v>91</v>
      </c>
      <c r="B51" s="14"/>
      <c r="C51" s="32"/>
      <c r="D51" s="32"/>
      <c r="E51" s="32"/>
      <c r="F51" s="32"/>
      <c r="G51" s="32"/>
    </row>
    <row r="52" customFormat="false" ht="33.75" hidden="false" customHeight="true" outlineLevel="0" collapsed="false">
      <c r="A52" s="14" t="s">
        <v>92</v>
      </c>
      <c r="B52" s="14"/>
      <c r="C52" s="32" t="s">
        <v>129</v>
      </c>
      <c r="D52" s="32"/>
      <c r="E52" s="32"/>
      <c r="F52" s="32"/>
      <c r="G52" s="32"/>
    </row>
    <row r="53" customFormat="false" ht="33.75" hidden="false" customHeight="true" outlineLevel="0" collapsed="false">
      <c r="A53" s="14" t="s">
        <v>93</v>
      </c>
      <c r="B53" s="14"/>
      <c r="C53" s="32"/>
      <c r="D53" s="32"/>
      <c r="E53" s="32"/>
      <c r="F53" s="32"/>
      <c r="G53" s="32"/>
    </row>
    <row r="54" customFormat="false" ht="33.75" hidden="false" customHeight="true" outlineLevel="0" collapsed="false">
      <c r="A54" s="14" t="s">
        <v>94</v>
      </c>
      <c r="B54" s="14"/>
      <c r="C54" s="32"/>
      <c r="D54" s="32"/>
      <c r="E54" s="32"/>
      <c r="F54" s="32"/>
      <c r="G54" s="32"/>
    </row>
    <row r="56" customFormat="false" ht="21.75" hidden="false" customHeight="true" outlineLevel="0" collapsed="false">
      <c r="A56" s="13" t="s">
        <v>95</v>
      </c>
      <c r="B56" s="13"/>
      <c r="C56" s="13"/>
      <c r="D56" s="13"/>
      <c r="E56" s="13"/>
      <c r="F56" s="13"/>
      <c r="G56" s="13"/>
    </row>
    <row r="57" customFormat="false" ht="15" hidden="false" customHeight="true" outlineLevel="0" collapsed="false">
      <c r="A57" s="14" t="s">
        <v>96</v>
      </c>
      <c r="B57" s="14"/>
      <c r="C57" s="28" t="n">
        <v>9</v>
      </c>
      <c r="D57" s="29" t="str">
        <f aca="false">IF(C57="","",IF(C57&gt;=9,"→ このまま紹介をお願いする",IF(C57&gt;=7,"→ 困りごとを聞いてから、紹介をお願いする","→ 紹介はお願いせず、困りごとを先に直す")))</f>
        <v>→ このまま紹介をお願いする</v>
      </c>
      <c r="E57" s="29"/>
      <c r="F57" s="29"/>
      <c r="G57" s="29"/>
    </row>
    <row r="58" customFormat="false" ht="30" hidden="false" customHeight="true" outlineLevel="0" collapsed="false">
      <c r="A58" s="14" t="s">
        <v>97</v>
      </c>
      <c r="B58" s="14"/>
      <c r="C58" s="32" t="s">
        <v>130</v>
      </c>
      <c r="D58" s="32"/>
      <c r="E58" s="32"/>
      <c r="F58" s="32"/>
      <c r="G58" s="32"/>
    </row>
    <row r="59" customFormat="false" ht="15" hidden="false" customHeight="true" outlineLevel="0" collapsed="false">
      <c r="A59" s="14" t="s">
        <v>98</v>
      </c>
      <c r="B59" s="14"/>
      <c r="C59" s="32" t="s">
        <v>131</v>
      </c>
      <c r="D59" s="32"/>
      <c r="E59" s="32"/>
      <c r="F59" s="32"/>
      <c r="G59" s="32"/>
    </row>
    <row r="61" customFormat="false" ht="43.5" hidden="false" customHeight="true" outlineLevel="0" collapsed="false">
      <c r="A61" s="12" t="s">
        <v>99</v>
      </c>
      <c r="B61" s="12"/>
      <c r="C61" s="12"/>
      <c r="D61" s="12"/>
      <c r="E61" s="12"/>
      <c r="F61" s="12"/>
      <c r="G61" s="12"/>
    </row>
    <row r="62" customFormat="false" ht="15" hidden="false" customHeight="true" outlineLevel="0" collapsed="false">
      <c r="A62" s="17" t="s">
        <v>100</v>
      </c>
      <c r="B62" s="17"/>
      <c r="C62" s="17" t="s">
        <v>101</v>
      </c>
      <c r="D62" s="17"/>
      <c r="E62" s="17" t="s">
        <v>102</v>
      </c>
      <c r="F62" s="17"/>
      <c r="G62" s="17" t="s">
        <v>103</v>
      </c>
    </row>
    <row r="63" customFormat="false" ht="26.85" hidden="false" customHeight="true" outlineLevel="0" collapsed="false">
      <c r="A63" s="32" t="s">
        <v>132</v>
      </c>
      <c r="B63" s="32"/>
      <c r="C63" s="32" t="s">
        <v>133</v>
      </c>
      <c r="D63" s="32"/>
      <c r="E63" s="32" t="s">
        <v>134</v>
      </c>
      <c r="F63" s="32"/>
      <c r="G63" s="15"/>
    </row>
    <row r="64" customFormat="false" ht="15" hidden="false" customHeight="false" outlineLevel="0" collapsed="false">
      <c r="A64" s="32"/>
      <c r="B64" s="32"/>
      <c r="C64" s="32"/>
      <c r="D64" s="32"/>
      <c r="E64" s="32"/>
      <c r="F64" s="32"/>
      <c r="G64" s="15"/>
    </row>
    <row r="65" customFormat="false" ht="15" hidden="false" customHeight="false" outlineLevel="0" collapsed="false">
      <c r="A65" s="32"/>
      <c r="B65" s="32"/>
      <c r="C65" s="32"/>
      <c r="D65" s="32"/>
      <c r="E65" s="32"/>
      <c r="F65" s="32"/>
      <c r="G65" s="15"/>
    </row>
    <row r="67" customFormat="false" ht="26.85" hidden="false" customHeight="true" outlineLevel="0" collapsed="false">
      <c r="A67" s="14" t="s">
        <v>104</v>
      </c>
      <c r="B67" s="14"/>
      <c r="C67" s="32" t="s">
        <v>135</v>
      </c>
      <c r="D67" s="32"/>
      <c r="E67" s="32"/>
      <c r="F67" s="32"/>
      <c r="G67" s="32"/>
    </row>
    <row r="69" customFormat="false" ht="21.75" hidden="false" customHeight="true" outlineLevel="0" collapsed="false">
      <c r="A69" s="30" t="s">
        <v>105</v>
      </c>
      <c r="B69" s="30"/>
      <c r="C69" s="30"/>
      <c r="D69" s="30"/>
      <c r="E69" s="30"/>
      <c r="F69" s="30"/>
      <c r="G69" s="30"/>
    </row>
    <row r="70" customFormat="false" ht="15" hidden="false" customHeight="true" outlineLevel="0" collapsed="false">
      <c r="A70" s="18" t="s">
        <v>106</v>
      </c>
      <c r="B70" s="18"/>
      <c r="C70" s="18"/>
      <c r="D70" s="18"/>
      <c r="E70" s="18"/>
      <c r="F70" s="18"/>
      <c r="G70" s="31" t="s">
        <v>107</v>
      </c>
    </row>
    <row r="71" customFormat="false" ht="15" hidden="false" customHeight="true" outlineLevel="0" collapsed="false">
      <c r="A71" s="18" t="s">
        <v>108</v>
      </c>
      <c r="B71" s="18"/>
      <c r="C71" s="18"/>
      <c r="D71" s="18"/>
      <c r="E71" s="18"/>
      <c r="F71" s="18"/>
      <c r="G71" s="31" t="s">
        <v>107</v>
      </c>
    </row>
    <row r="72" customFormat="false" ht="15" hidden="false" customHeight="true" outlineLevel="0" collapsed="false">
      <c r="A72" s="18" t="s">
        <v>109</v>
      </c>
      <c r="B72" s="18"/>
      <c r="C72" s="18"/>
      <c r="D72" s="18"/>
      <c r="E72" s="18"/>
      <c r="F72" s="18"/>
      <c r="G72" s="31" t="s">
        <v>107</v>
      </c>
    </row>
    <row r="73" customFormat="false" ht="15" hidden="false" customHeight="true" outlineLevel="0" collapsed="false">
      <c r="A73" s="18" t="s">
        <v>110</v>
      </c>
      <c r="B73" s="18"/>
      <c r="C73" s="18"/>
      <c r="D73" s="18"/>
      <c r="E73" s="18"/>
      <c r="F73" s="18"/>
      <c r="G73" s="31" t="s">
        <v>107</v>
      </c>
    </row>
  </sheetData>
  <mergeCells count="95">
    <mergeCell ref="A1:G1"/>
    <mergeCell ref="A2:G2"/>
    <mergeCell ref="A4:G4"/>
    <mergeCell ref="A5:B5"/>
    <mergeCell ref="C5:G5"/>
    <mergeCell ref="A6:B6"/>
    <mergeCell ref="C6:G6"/>
    <mergeCell ref="A7:B7"/>
    <mergeCell ref="C7:G7"/>
    <mergeCell ref="A8:B8"/>
    <mergeCell ref="C8:G8"/>
    <mergeCell ref="A9:B9"/>
    <mergeCell ref="C9:G9"/>
    <mergeCell ref="A10:B10"/>
    <mergeCell ref="C10:G10"/>
    <mergeCell ref="A11:B11"/>
    <mergeCell ref="C11:G11"/>
    <mergeCell ref="A12:B12"/>
    <mergeCell ref="C12:G12"/>
    <mergeCell ref="A13:B13"/>
    <mergeCell ref="C13:G13"/>
    <mergeCell ref="A15:G15"/>
    <mergeCell ref="A16:B16"/>
    <mergeCell ref="C16:G16"/>
    <mergeCell ref="A17:B17"/>
    <mergeCell ref="C17:G17"/>
    <mergeCell ref="A18:B18"/>
    <mergeCell ref="C18:G18"/>
    <mergeCell ref="A19:B19"/>
    <mergeCell ref="C19:G19"/>
    <mergeCell ref="A20:B20"/>
    <mergeCell ref="C20:G20"/>
    <mergeCell ref="A21:B21"/>
    <mergeCell ref="C21:G21"/>
    <mergeCell ref="A23:G23"/>
    <mergeCell ref="A37:B37"/>
    <mergeCell ref="C37:G37"/>
    <mergeCell ref="A39:G39"/>
    <mergeCell ref="B40:C40"/>
    <mergeCell ref="D40:G40"/>
    <mergeCell ref="B41:C41"/>
    <mergeCell ref="D41:G41"/>
    <mergeCell ref="B42:C42"/>
    <mergeCell ref="D42:G42"/>
    <mergeCell ref="B43:C43"/>
    <mergeCell ref="D43:G43"/>
    <mergeCell ref="B44:C44"/>
    <mergeCell ref="D44:G44"/>
    <mergeCell ref="B45:C45"/>
    <mergeCell ref="D45:G45"/>
    <mergeCell ref="B46:C46"/>
    <mergeCell ref="D46:G46"/>
    <mergeCell ref="B47:C47"/>
    <mergeCell ref="D47:G47"/>
    <mergeCell ref="B48:C48"/>
    <mergeCell ref="D48:G48"/>
    <mergeCell ref="B49:C49"/>
    <mergeCell ref="D49:G49"/>
    <mergeCell ref="A50:B50"/>
    <mergeCell ref="C50:G50"/>
    <mergeCell ref="A51:B51"/>
    <mergeCell ref="C51:G51"/>
    <mergeCell ref="A52:B52"/>
    <mergeCell ref="C52:G52"/>
    <mergeCell ref="A53:B53"/>
    <mergeCell ref="C53:G53"/>
    <mergeCell ref="A54:B54"/>
    <mergeCell ref="C54:G54"/>
    <mergeCell ref="A56:G56"/>
    <mergeCell ref="A57:B57"/>
    <mergeCell ref="D57:G57"/>
    <mergeCell ref="A58:B58"/>
    <mergeCell ref="C58:G58"/>
    <mergeCell ref="A59:B59"/>
    <mergeCell ref="C59:G59"/>
    <mergeCell ref="A61:G61"/>
    <mergeCell ref="A62:B62"/>
    <mergeCell ref="C62:D62"/>
    <mergeCell ref="E62:F62"/>
    <mergeCell ref="A63:B63"/>
    <mergeCell ref="C63:D63"/>
    <mergeCell ref="E63:F63"/>
    <mergeCell ref="A64:B64"/>
    <mergeCell ref="C64:D64"/>
    <mergeCell ref="E64:F64"/>
    <mergeCell ref="A65:B65"/>
    <mergeCell ref="C65:D65"/>
    <mergeCell ref="E65:F65"/>
    <mergeCell ref="A67:B67"/>
    <mergeCell ref="C67:G67"/>
    <mergeCell ref="A69:G69"/>
    <mergeCell ref="A70:F70"/>
    <mergeCell ref="A71:F71"/>
    <mergeCell ref="A72:F72"/>
    <mergeCell ref="A73:F73"/>
  </mergeCells>
  <dataValidations count="5">
    <dataValidation allowBlank="true" errorStyle="stop" operator="between" showDropDown="false" showErrorMessage="false" showInputMessage="false" sqref="B41:B49" type="list">
      <formula1>"毎日使う,ときどき,使っていない"</formula1>
      <formula2>0</formula2>
    </dataValidation>
    <dataValidation allowBlank="true" errorStyle="stop" operator="between" showDropDown="false" showErrorMessage="false" showInputMessage="false" sqref="C57" type="whole">
      <formula1>0</formula1>
      <formula2>10</formula2>
    </dataValidation>
    <dataValidation allowBlank="true" errorStyle="stop" operator="between" showDropDown="false" showErrorMessage="false" showInputMessage="false" sqref="C59" type="list">
      <formula1>"とても困る,少し困る,困らない"</formula1>
      <formula2>0</formula2>
    </dataValidation>
    <dataValidation allowBlank="true" errorStyle="stop" operator="between" showDropDown="false" showErrorMessage="false" showInputMessage="false" sqref="C67" type="list">
      <formula1>"店名を出してよい,店名は出さずに,店名なし・写真もよい,使わないでほしい"</formula1>
      <formula2>0</formula2>
    </dataValidation>
    <dataValidation allowBlank="true" errorStyle="stop" operator="between" showDropDown="false" showErrorMessage="false" showInputMessage="false" sqref="G70:G73" type="list">
      <formula1>"まだ,済み"</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2026-10-31T07:20:37Z</dcterms:created>
  <dc:creator>openpyxl</dc:creator>
  <dc:description/>
  <dc:language>en-US</dc:language>
  <cp:lastModifiedBy/>
  <dcterms:modified xsi:type="dcterms:W3CDTF">2026-10-31T07:20:37Z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